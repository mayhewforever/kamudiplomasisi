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tart and Weekly Guide" sheetId="1" state="visible" r:id="rId3"/>
    <sheet name="2 Evidence Practice" sheetId="2" state="visible" r:id="rId4"/>
    <sheet name="3 Measurement Lab" sheetId="3" state="visible" r:id="rId5"/>
    <sheet name="4 Concept Guide" sheetId="4" state="visible" r:id="rId6"/>
    <sheet name="5 Research Design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<sst xmlns="http://schemas.openxmlformats.org/spreadsheetml/2006/main" count="282" uniqueCount="266">
  <si>
    <t xml:space="preserve">Public diplomacy: first steps</t>
  </si>
  <si>
    <t xml:space="preserve">1. Find the row for your current week. Click “Open lecture notes”.</t>
  </si>
  <si>
    <t xml:space="preserve">2. Complete the small task. Prepare a short answer using the “Your output” column.</t>
  </si>
  <si>
    <t xml:space="preserve">3. Select your status in the yellow cell. Then read the example on sheet 2 and complete your own evidence row.</t>
  </si>
  <si>
    <t xml:space="preserve">Everyday analogy: Seeing a poster does not mean liking or buying the product it promotes.</t>
  </si>
  <si>
    <t xml:space="preserve">Excel tip: Click a yellow cell, type and press Enter. Use the tabs below to move between sheets.</t>
  </si>
  <si>
    <t xml:space="preserve">Week</t>
  </si>
  <si>
    <t xml:space="preserve">Topic</t>
  </si>
  <si>
    <t xml:space="preserve">Small task</t>
  </si>
  <si>
    <t xml:space="preserve">Your output</t>
  </si>
  <si>
    <t xml:space="preserve">Lecture notes</t>
  </si>
  <si>
    <t xml:space="preserve">Status (you select)</t>
  </si>
  <si>
    <t xml:space="preserve">Distinguishing types of power</t>
  </si>
  <si>
    <t xml:space="preserve">Choose a scholarship example. Separate funding, attraction and the expected outcome.</t>
  </si>
  <si>
    <t xml:space="preserve">Three sentences: What is the resource, what is the instrument, and what evidence of an outcome is missing?</t>
  </si>
  <si>
    <t xml:space="preserve">Not started</t>
  </si>
  <si>
    <t xml:space="preserve">Franklin and France</t>
  </si>
  <si>
    <t xml:space="preserve">Choose one of Franklin’s contacts in a scientific or social network. Separate the contact from the alliance decision.</t>
  </si>
  <si>
    <t xml:space="preserve">Two explanations: How might the contact contribute, and what else might explain the decision?</t>
  </si>
  <si>
    <t xml:space="preserve">The Union and Europe</t>
  </si>
  <si>
    <t xml:space="preserve">Find a narrative used by the Union government. Identify the European audience it addressed.</t>
  </si>
  <si>
    <t xml:space="preserve">One message, one audience and one type of document that could reveal reception.</t>
  </si>
  <si>
    <t xml:space="preserve">The Confederacy and cotton</t>
  </si>
  <si>
    <t xml:space="preserve">Explain why cotton as a resource did not automatically produce political support.</t>
  </si>
  <si>
    <t xml:space="preserve">One resource, one expected outcome and two conditions that might interrupt the chain.</t>
  </si>
  <si>
    <t xml:space="preserve">Cuba and humanitarian aid</t>
  </si>
  <si>
    <t xml:space="preserve">Separate the delivery of aid from media accounts of that aid.</t>
  </si>
  <si>
    <t xml:space="preserve">One piece of activity evidence, one piece of reporting evidence and one missing piece of influence evidence.</t>
  </si>
  <si>
    <t xml:space="preserve">Educational exchanges</t>
  </si>
  <si>
    <t xml:space="preserve">In a student exchange, identify what the host and the participant each learn.</t>
  </si>
  <si>
    <t xml:space="preserve">One indicator of relationships to track alongside participation numbers.</t>
  </si>
  <si>
    <t xml:space="preserve">The CPI and communication networks</t>
  </si>
  <si>
    <t xml:space="preserve">Map the Committee on Public Information (CPI) into three boxes: centre, intermediary and audience.</t>
  </si>
  <si>
    <t xml:space="preserve">One missing step between producing a poster and persuading a person.</t>
  </si>
  <si>
    <t xml:space="preserve">Propaganda and ethics</t>
  </si>
  <si>
    <t xml:space="preserve">Assess a message containing accurate information but concealing its source.</t>
  </si>
  <si>
    <t xml:space="preserve">Three questions about the source, missing context and a route for correction.</t>
  </si>
  <si>
    <t xml:space="preserve">Foundations and private networks</t>
  </si>
  <si>
    <t xml:space="preserve">Choose a foundation or university example. Separate who provides funding from who makes decisions.</t>
  </si>
  <si>
    <t xml:space="preserve">Two actors and one area in which they may act independently.</t>
  </si>
  <si>
    <t xml:space="preserve">Wartime institutions</t>
  </si>
  <si>
    <t xml:space="preserve">Compare the three institutions in the notes by purpose, intended audience and instruments.</t>
  </si>
  <si>
    <t xml:space="preserve">Three short rows. Explain why using the same instrument does not imply the same mandate.</t>
  </si>
  <si>
    <t xml:space="preserve">Radio, film and the press</t>
  </si>
  <si>
    <t xml:space="preserve">Consider how audiences might interpret the same message differently on radio, film and in newspapers.</t>
  </si>
  <si>
    <t xml:space="preserve">One advantage and one limitation for each of the three media.</t>
  </si>
  <si>
    <t xml:space="preserve">Smith–Mundt and institutions</t>
  </si>
  <si>
    <t xml:space="preserve">Identify separate evidence for legal authority, implementation capacity and outcomes.</t>
  </si>
  <si>
    <t xml:space="preserve">What a law makes possible and what it does not establish by itself.</t>
  </si>
  <si>
    <t xml:space="preserve">Cross-country comparison</t>
  </si>
  <si>
    <t xml:space="preserve">Compare two cultural institutions or broadcasters: Who governs them, whom do they reach, and how do they receive feedback?</t>
  </si>
  <si>
    <t xml:space="preserve">A two-row comparison and one contextual difference that might affect the outcome.</t>
  </si>
  <si>
    <t xml:space="preserve">Evaluating influence</t>
  </si>
  <si>
    <t xml:space="preserve">Change one yellow input on sheet 3. Read reach and the change in support separately.</t>
  </si>
  <si>
    <t xml:space="preserve">Four sentences: purpose, observation, a rival explanation and further evidence needed.</t>
  </si>
  <si>
    <t xml:space="preserve">Sentence template: “This source shows … . To conclude … , I also need … .”</t>
  </si>
  <si>
    <t xml:space="preserve">Example: “The poster shows that the message was produced. To establish persuasion, I also need audience responses.”</t>
  </si>
  <si>
    <t xml:space="preserve">Source: The 14 weeks of English lecture notes on this site. Each weekly row links to the corresponding notes.</t>
  </si>
  <si>
    <t xml:space="preserve">How do I test a claim against evidence?</t>
  </si>
  <si>
    <t xml:space="preserve">1. State your claim in one sentence. 2. Identify your document. 3. State what the document cannot establish.</t>
  </si>
  <si>
    <t xml:space="preserve">Evidence is a trace supporting a claim. An evidence matrix compares such traces using the same questions.</t>
  </si>
  <si>
    <t xml:space="preserve">Everyday example: Seeing a café advert does not prove that you bought coffee there. Identify the missing step.</t>
  </si>
  <si>
    <t xml:space="preserve">Worked examples: These document types illustrate reasoning. They are not actual archival discoveries.</t>
  </si>
  <si>
    <t xml:space="preserve">Example</t>
  </si>
  <si>
    <t xml:space="preserve">What do I claim?</t>
  </si>
  <si>
    <t xml:space="preserve">What do I examine? (document type)</t>
  </si>
  <si>
    <t xml:space="preserve">What can it establish?</t>
  </si>
  <si>
    <t xml:space="preserve">What cannot it establish alone?</t>
  </si>
  <si>
    <t xml:space="preserve">What else might explain it?</t>
  </si>
  <si>
    <t xml:space="preserve">Lecture link</t>
  </si>
  <si>
    <t xml:space="preserve">1. University exchange</t>
  </si>
  <si>
    <t xml:space="preserve">“Participation occurred.”</t>
  </si>
  <si>
    <t xml:space="preserve">An illustrative participation list.</t>
  </si>
  <si>
    <t xml:space="preserve">Participation by the listed people.</t>
  </si>
  <si>
    <t xml:space="preserve">Increased trust in the country.</t>
  </si>
  <si>
    <t xml:space="preserve">Applicants may already have been interested in the country.</t>
  </si>
  <si>
    <t xml:space="preserve">2. CPI poster</t>
  </si>
  <si>
    <t xml:space="preserve">“The committee produced this message.”</t>
  </si>
  <si>
    <t xml:space="preserve">An illustrative CPI poster and production record.</t>
  </si>
  <si>
    <t xml:space="preserve">The content and production of the message.</t>
  </si>
  <si>
    <t xml:space="preserve">How many people saw it or were persuaded.</t>
  </si>
  <si>
    <t xml:space="preserve">Support may have existed before the message.</t>
  </si>
  <si>
    <t xml:space="preserve">3. Film screening</t>
  </si>
  <si>
    <t xml:space="preserve">“The film was offered for screening.”</t>
  </si>
  <si>
    <t xml:space="preserve">An illustrative cinema programme.</t>
  </si>
  <si>
    <t xml:space="preserve">That a screening was scheduled at a particular venue.</t>
  </si>
  <si>
    <t xml:space="preserve">That every viewer interpreted it in the same way.</t>
  </si>
  <si>
    <t xml:space="preserve">Local interpretations and existing opinions may differ.</t>
  </si>
  <si>
    <t xml:space="preserve">Your turn: Choose a case from the notes. Complete a yellow row. If you have not seen the document, write “document to locate”.</t>
  </si>
  <si>
    <t xml:space="preserve">My case / week</t>
  </si>
  <si>
    <t xml:space="preserve">My document / document to locate</t>
  </si>
  <si>
    <t xml:space="preserve">What can I learn?</t>
  </si>
  <si>
    <t xml:space="preserve">What remains unknown?</t>
  </si>
  <si>
    <t xml:space="preserve">Rival explanation</t>
  </si>
  <si>
    <t xml:space="preserve">Source or page</t>
  </si>
  <si>
    <t xml:space="preserve">Practice 1</t>
  </si>
  <si>
    <t xml:space="preserve">Practice 2</t>
  </si>
  <si>
    <t xml:space="preserve">Practice 3</t>
  </si>
  <si>
    <t xml:space="preserve">Practice 4</t>
  </si>
  <si>
    <t xml:space="preserve">Check yourself: Did I establish a document or an effect? If I claimed an effect, did I show the steps connecting them?</t>
  </si>
  <si>
    <t xml:space="preserve">Basis: Week 6 on exchanges, week 7 on the CPI and week 11 on media. The example rows link to the relevant notes.</t>
  </si>
  <si>
    <t xml:space="preserve">Separate reach from changes in support</t>
  </si>
  <si>
    <t xml:space="preserve">Entirely hypothetical data: A and B are fictional campaigns. These are not records of real people, students or historical events.</t>
  </si>
  <si>
    <t xml:space="preserve">1. Look at the yellow inputs. 2. Read the worked example below. 3. Set D10 to 600 and watch the results.</t>
  </si>
  <si>
    <t xml:space="preserve">In each initial example, the same 100 people selected from those reached answered the same support question before and after.</t>
  </si>
  <si>
    <t xml:space="preserve">“Support” means a positive answer. Persuasion needs stronger evidence. This observation without a control group does not establish causation.</t>
  </si>
  <si>
    <t xml:space="preserve">A control group consists of similar people not receiving the campaign, observed for comparison. This example has no such group.</t>
  </si>
  <si>
    <t xml:space="preserve">Campaign</t>
  </si>
  <si>
    <t xml:space="preserve">Target audience (people)</t>
  </si>
  <si>
    <t xml:space="preserve">Reached (people)</t>
  </si>
  <si>
    <t xml:space="preserve">Same panel in both surveys (people)</t>
  </si>
  <si>
    <t xml:space="preserve">Support before (people)</t>
  </si>
  <si>
    <t xml:space="preserve">Support after (people)</t>
  </si>
  <si>
    <t xml:space="preserve">Input status</t>
  </si>
  <si>
    <t xml:space="preserve">Campaign A</t>
  </si>
  <si>
    <t xml:space="preserve">Campaign B</t>
  </si>
  <si>
    <t xml:space="preserve">Results outside the yellow cells calculate automatically. Audience, panel and support counts must be consistent.</t>
  </si>
  <si>
    <t xml:space="preserve">Reach rate</t>
  </si>
  <si>
    <t xml:space="preserve">Support before</t>
  </si>
  <si>
    <t xml:space="preserve">Support after</t>
  </si>
  <si>
    <t xml:space="preserve">Change (percentage points)</t>
  </si>
  <si>
    <t xml:space="preserve">How is it calculated?</t>
  </si>
  <si>
    <t xml:space="preserve">How do I read it?</t>
  </si>
  <si>
    <t xml:space="preserve">Reach = reached ÷ target.</t>
  </si>
  <si>
    <t xml:space="preserve">Change = after % − before %.</t>
  </si>
  <si>
    <t xml:space="preserve">Initial worked example: In A, 800 ÷ 1,000 = 80% reach. Support rises from 40% to 44%: 4 percentage points.</t>
  </si>
  <si>
    <t xml:space="preserve">B starts with lower reach (40%) and a larger support increase (15 percentage points). Exposure and persuasion are separate questions.</t>
  </si>
  <si>
    <t xml:space="preserve">Exercise 1: Change D10 from 800 to 600. Reach becomes 60%. Why does the change in support stay the same?</t>
  </si>
  <si>
    <t xml:space="preserve">Exercise 2: Change G10 from 44 to 60. Support becomes 60%, an increase of 20 percentage points. Which input changed?</t>
  </si>
  <si>
    <t xml:space="preserve">Exercise 3: Clear E10. Why is a blank result more honest than displaying 0%? Then enter 100 again.</t>
  </si>
  <si>
    <t xml:space="preserve">Exercise 4: What must you learn before saying “B persuaded more people”? Consider initial differences and other events.</t>
  </si>
  <si>
    <t xml:space="preserve">Your answer</t>
  </si>
  <si>
    <t xml:space="preserve">What does reach measure?</t>
  </si>
  <si>
    <t xml:space="preserve">What does support measure?</t>
  </si>
  <si>
    <t xml:space="preserve">Another possible cause</t>
  </si>
  <si>
    <t xml:space="preserve">What further data are needed?</t>
  </si>
  <si>
    <t xml:space="preserve">Limit to my conclusion</t>
  </si>
  <si>
    <t xml:space="preserve">One-sentence conclusion</t>
  </si>
  <si>
    <t xml:space="preserve">My explanation</t>
  </si>
  <si>
    <t xml:space="preserve">Click C16 to inspect its formula. D10/C10 in the formula bar means “people reached / people targeted”.</t>
  </si>
  <si>
    <t xml:space="preserve">Percentage points: The difference between 40% and 44% is 4 points. The relative increase is 10%. These are different measures.</t>
  </si>
  <si>
    <t xml:space="preserve">Source: The numbers were constructed for teaching. Concepts draw on the course notes for weeks 1 and 14.</t>
  </si>
  <si>
    <t xml:space="preserve">Read the concepts in everyday language</t>
  </si>
  <si>
    <t xml:space="preserve">1. Find an unfamiliar term. 2. Read its everyday example. 3. Apply the final question to your course case.</t>
  </si>
  <si>
    <t xml:space="preserve">Concept</t>
  </si>
  <si>
    <t xml:space="preserve">Plain meaning</t>
  </si>
  <si>
    <t xml:space="preserve">Everyday analogy</t>
  </si>
  <si>
    <t xml:space="preserve">Ask yourself</t>
  </si>
  <si>
    <t xml:space="preserve">Actor</t>
  </si>
  <si>
    <t xml:space="preserve">A person or organisation trying to do something.</t>
  </si>
  <si>
    <t xml:space="preserve">A café owner commissions an advert.</t>
  </si>
  <si>
    <t xml:space="preserve">Who is trying to change what?</t>
  </si>
  <si>
    <t xml:space="preserve">Target public</t>
  </si>
  <si>
    <t xml:space="preserve">The people engaged through a message or programme.</t>
  </si>
  <si>
    <t xml:space="preserve">Students living near the café.</t>
  </si>
  <si>
    <t xml:space="preserve">Which people? Am I treating them all as identical?</t>
  </si>
  <si>
    <t xml:space="preserve">Resource</t>
  </si>
  <si>
    <t xml:space="preserve">Available money, knowledge, relationships or reputation.</t>
  </si>
  <si>
    <t xml:space="preserve">The café’s budget and good reputation.</t>
  </si>
  <si>
    <t xml:space="preserve">An available resource or an observed result?</t>
  </si>
  <si>
    <t xml:space="preserve">Instrument</t>
  </si>
  <si>
    <t xml:space="preserve">How a resource is used to engage people.</t>
  </si>
  <si>
    <t xml:space="preserve">An advert, promotional event or invitation.</t>
  </si>
  <si>
    <t xml:space="preserve">How does contact occur?</t>
  </si>
  <si>
    <t xml:space="preserve">Mechanism</t>
  </si>
  <si>
    <t xml:space="preserve">The process through which one thing may change another.</t>
  </si>
  <si>
    <t xml:space="preserve">A trusted recommendation encourages a trial.</t>
  </si>
  <si>
    <t xml:space="preserve">What is the intermediate step? Can I observe it?</t>
  </si>
  <si>
    <t xml:space="preserve">Reach</t>
  </si>
  <si>
    <t xml:space="preserve">People encountering content. Specify the definition and counting method.</t>
  </si>
  <si>
    <t xml:space="preserve">How many people actually saw the advert?</t>
  </si>
  <si>
    <t xml:space="preserve">Views, unique people or potential reach?</t>
  </si>
  <si>
    <t xml:space="preserve">Reception</t>
  </si>
  <si>
    <t xml:space="preserve">How people understand and assess a message.</t>
  </si>
  <si>
    <t xml:space="preserve">One person finds the advert useful, another off-putting.</t>
  </si>
  <si>
    <t xml:space="preserve">What meaning did the audience make? Can I hear its own voice?</t>
  </si>
  <si>
    <t xml:space="preserve">Attitude and behaviour</t>
  </si>
  <si>
    <t xml:space="preserve">Attitude is an evaluation; behaviour is an observable action.</t>
  </si>
  <si>
    <t xml:space="preserve">Liking the café is an attitude; buying is behaviour.</t>
  </si>
  <si>
    <t xml:space="preserve">Am I measuring a view or an action?</t>
  </si>
  <si>
    <t xml:space="preserve">Hard power</t>
  </si>
  <si>
    <t xml:space="preserve">Influencing behaviour by changing costs or material benefits.</t>
  </si>
  <si>
    <t xml:space="preserve">A conditional reward or penalty offers an everyday analogy.</t>
  </si>
  <si>
    <t xml:space="preserve">Does the change reflect a material calculation?</t>
  </si>
  <si>
    <t xml:space="preserve">Soft power</t>
  </si>
  <si>
    <t xml:space="preserve">The capacity to shape preferences through attraction and perceived legitimacy.</t>
  </si>
  <si>
    <t xml:space="preserve">Following someone because they set an appealing example.</t>
  </si>
  <si>
    <t xml:space="preserve">Am I confusing admiration with policy support?</t>
  </si>
  <si>
    <t xml:space="preserve">Public diplomacy</t>
  </si>
  <si>
    <t xml:space="preserve">Organised engagement with foreign publics connected to external objectives.</t>
  </si>
  <si>
    <t xml:space="preserve">Listening and joint work operate differently from a one-way announcement.</t>
  </si>
  <si>
    <t xml:space="preserve">Which external purpose, public and feedback?</t>
  </si>
  <si>
    <t xml:space="preserve">Propaganda</t>
  </si>
  <si>
    <t xml:space="preserve">Communication systematically directing perceptions and behaviour towards political ends.</t>
  </si>
  <si>
    <t xml:space="preserve">A true fragment can be selected while the rest is concealed.</t>
  </si>
  <si>
    <t xml:space="preserve">Are the source, omitted context and freedom to choose clear?</t>
  </si>
  <si>
    <t xml:space="preserve">Credibility</t>
  </si>
  <si>
    <t xml:space="preserve">A source being considered believable and trustworthy.</t>
  </si>
  <si>
    <t xml:space="preserve">A speaker who openly corrects an error.</t>
  </si>
  <si>
    <t xml:space="preserve">How do I know why people believe the source?</t>
  </si>
  <si>
    <t xml:space="preserve">Reciprocity</t>
  </si>
  <si>
    <t xml:space="preserve">Parties being able to listen and contribute to the process.</t>
  </si>
  <si>
    <t xml:space="preserve">Joint decision-making differs from simply receiving orders.</t>
  </si>
  <si>
    <t xml:space="preserve">Can the other party change the programme?</t>
  </si>
  <si>
    <t xml:space="preserve">Another cause that could explain the observed result.</t>
  </si>
  <si>
    <t xml:space="preserve">A new customer may have followed a friend’s advice rather than the advert.</t>
  </si>
  <si>
    <t xml:space="preserve">Would the result have occurred anyway? What else changed?</t>
  </si>
  <si>
    <t xml:space="preserve">Counterfactual</t>
  </si>
  <si>
    <t xml:space="preserve">A comparison asking what would have happened without the activity.</t>
  </si>
  <si>
    <t xml:space="preserve">What would sales have been without the advert?</t>
  </si>
  <si>
    <t xml:space="preserve">Is there a suitable comparison or prior trend?</t>
  </si>
  <si>
    <t xml:space="preserve">Numerator and denominator</t>
  </si>
  <si>
    <t xml:space="preserve">The numerator is the counted amount; the denominator is the relevant total.</t>
  </si>
  <si>
    <t xml:space="preserve">800 reached / 1,000 targeted = 80%.</t>
  </si>
  <si>
    <t xml:space="preserve">Do both counts refer to the same population and period?</t>
  </si>
  <si>
    <t xml:space="preserve">Percentage points</t>
  </si>
  <si>
    <t xml:space="preserve">The arithmetic difference between two percentages.</t>
  </si>
  <si>
    <t xml:space="preserve">A move from 40% to 44% is 4 percentage points.</t>
  </si>
  <si>
    <t xml:space="preserve">Am I confusing this with a relative percentage increase?</t>
  </si>
  <si>
    <t xml:space="preserve">Source: Conceptual explanations in the English course notes. Everyday analogies serve only to support learning.</t>
  </si>
  <si>
    <t xml:space="preserve">Build your research design step by step</t>
  </si>
  <si>
    <t xml:space="preserve">1. Read the fictional worked example. 2. Write your own case in the yellow column. 3. Also seek evidence against your claim.</t>
  </si>
  <si>
    <t xml:space="preserve">Source provenance identifies who created a document, when, for what purpose, and how it reached you.</t>
  </si>
  <si>
    <t xml:space="preserve">An observation is what appears in the record. An interpretation is what you infer. Keeping them separate makes your reasoning auditable.</t>
  </si>
  <si>
    <t xml:space="preserve">The example is entirely fictional. EXAMPLE-1 is not a real record identifier. Do not enter student names or personal data in the yellow cells.</t>
  </si>
  <si>
    <t xml:space="preserve">Evidence question</t>
  </si>
  <si>
    <t xml:space="preserve">Fictional worked example</t>
  </si>
  <si>
    <t xml:space="preserve">Your study (complete this)</t>
  </si>
  <si>
    <t xml:space="preserve">Claim: the statement I test</t>
  </si>
  <si>
    <t xml:space="preserve">The exchange workshop contributed to two teachers preparing their first joint lesson plan. This is the claim to test, not an established result.</t>
  </si>
  <si>
    <t xml:space="preserve">Provenance: who produced the source?</t>
  </si>
  <si>
    <t xml:space="preserve">EXAMPLE-1: An imagined private letter from participant A to participant B after the workshop. A real study must verify creator, recipient, date, purpose and repository.</t>
  </si>
  <si>
    <t xml:space="preserve">Observation: what exactly is in the record?</t>
  </si>
  <si>
    <t xml:space="preserve">The imagined letter mentions a joint lesson draft. This observation concerns the letter’s content; it does not show that the draft was implemented.</t>
  </si>
  <si>
    <t xml:space="preserve">Interpretation: what do I infer?</t>
  </si>
  <si>
    <t xml:space="preserve">It is consistent with continued contact after the workshop. It does not establish that the workshop was the sole cause or that the relationship endured.</t>
  </si>
  <si>
    <t xml:space="preserve">Rival explanation: could another cause explain it?</t>
  </si>
  <si>
    <t xml:space="preserve">The teachers may have known each other or already planned another joint project. Pre-workshop correspondence could test this explanation.</t>
  </si>
  <si>
    <t xml:space="preserve">Limitation: what are the limits of my evidence?</t>
  </si>
  <si>
    <t xml:space="preserve">It relies on one self-report. Selective survival, positive self-presentation and the other party’s silence may distort the account. Contact is not a policy change.</t>
  </si>
  <si>
    <t xml:space="preserve">Next evidence: what will I check?</t>
  </si>
  <si>
    <t xml:space="preserve">Compare earlier records, the second participant’s account and the dated joint draft. Narrow the claim if they conflict; repeated use of one source is not independent corroboration.</t>
  </si>
  <si>
    <t xml:space="preserve">Now specify the design: Each row makes a research choice explicit. If data are absent, state what to seek rather than invent a result.</t>
  </si>
  <si>
    <t xml:space="preserve">Design decision</t>
  </si>
  <si>
    <t xml:space="preserve">How the example applies it</t>
  </si>
  <si>
    <t xml:space="preserve">My research plan</t>
  </si>
  <si>
    <t xml:space="preserve">Research question</t>
  </si>
  <si>
    <t xml:space="preserve">Through what process did the workshop contribute to this pair of teachers preparing their first joint lesson draft?</t>
  </si>
  <si>
    <t xml:space="preserve">Unit of analysis</t>
  </si>
  <si>
    <t xml:space="preserve">One pair of teachers and its collaborative process. Do not mix claims about individuals, events and countries.</t>
  </si>
  <si>
    <t xml:space="preserve">Time and scope</t>
  </si>
  <si>
    <t xml:space="preserve">Hypothetical plan: the three months before and after the workshop. Extend the scope only with an explicit reason.</t>
  </si>
  <si>
    <t xml:space="preserve">Proposed mechanism</t>
  </si>
  <si>
    <t xml:space="preserve">Contact at the workshop, agreement on a topic, then joint drafting. Seek a distinct observable trace for each step.</t>
  </si>
  <si>
    <t xml:space="preserve">Indicator and definition</t>
  </si>
  <si>
    <t xml:space="preserve">A dated lesson draft with traces of contributions by both teachers. Attendance shows participation, not joint production.</t>
  </si>
  <si>
    <t xml:space="preserve">Case selection</t>
  </si>
  <si>
    <t xml:space="preserve">Do not select only success stories. Seek contacts that did not continue and record why people or documents were excluded.</t>
  </si>
  <si>
    <t xml:space="preserve">Comparison and counterfactual</t>
  </si>
  <si>
    <t xml:space="preserve">Investigate earlier collaboration and suitable similar non-participants. Explain possible initial differences rather than assuming comparability.</t>
  </si>
  <si>
    <t xml:space="preserve">Ethics and data management</t>
  </si>
  <si>
    <t xml:space="preserve">Plan voluntary participation, appropriate permission, minimal personal data and secure storage. Do not copy student records into this workbook.</t>
  </si>
  <si>
    <t xml:space="preserve">Citation and audit trail</t>
  </si>
  <si>
    <t xml:space="preserve">Record author, date, title, collection or publication, record/page and access details. Keep a short log of translations, missing records and revised interpretations.</t>
  </si>
  <si>
    <t xml:space="preserve">Before submission: Are claim, observation, interpretation and limitation separate? What evidence would test the strongest rival explanation?</t>
  </si>
  <si>
    <t xml:space="preserve">Course basis: Week 6 on exchanges and week 14 on evidence and evaluation. This fictional example establishes no historical finding.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</si>
</sst>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0%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82B3A"/>
      <name val="Arial"/>
      <family val="0"/>
      <charset val="1"/>
    </font>
    <font>
      <b val="true"/>
      <sz val="17"/>
      <color rgb="FF801C3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801C35"/>
      <name val="Arial"/>
      <family val="0"/>
      <charset val="1"/>
    </font>
    <font>
      <b val="true"/>
      <sz val="10.5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AF6"/>
        <bgColor rgb="FFFFFFFF"/>
      </patternFill>
    </fill>
    <fill>
      <patternFill patternType="solid">
        <fgColor rgb="FF182B3A"/>
        <bgColor rgb="FF003366"/>
      </patternFill>
    </fill>
    <fill>
      <patternFill patternType="solid">
        <fgColor rgb="FFFFF1C9"/>
        <bgColor rgb="FFFCE1D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B864"/>
      </bottom>
      <diagonal/>
    </border>
    <border diagonalUp="false" diagonalDown="false">
      <left/>
      <right/>
      <top/>
      <bottom style="thin">
        <color rgb="FFEEE8E2"/>
      </bottom>
      <diagonal/>
    </border>
    <border diagonalUp="false" diagonalDown="false">
      <left/>
      <right/>
      <top style="thin">
        <color rgb="FFEEE8E2"/>
      </top>
      <bottom style="thin">
        <color rgb="FFEEE8E2"/>
      </bottom>
      <diagonal/>
    </border>
    <border diagonalUp="false" diagonalDown="false">
      <left/>
      <right/>
      <top style="thin">
        <color rgb="FFEEE8E2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2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">
    <dxf>
      <font>
        <b val="1"/>
        <color rgb="FF9C2635"/>
      </font>
      <fill>
        <patternFill>
          <bgColor rgb="FFFCE1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C2635"/>
      <rgbColor rgb="FFFFF1C9"/>
      <rgbColor rgb="FFFCF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8E2"/>
      <rgbColor rgb="FFFFFF99"/>
      <rgbColor rgb="FF99CCFF"/>
      <rgbColor rgb="FFFF99CC"/>
      <rgbColor rgb="FFCC99FF"/>
      <rgbColor rgb="FFFCE1DD"/>
      <rgbColor rgb="FF3366FF"/>
      <rgbColor rgb="FF33CCCC"/>
      <rgbColor rgb="FF99CC00"/>
      <rgbColor rgb="FFD9B864"/>
      <rgbColor rgb="FFFF9900"/>
      <rgbColor rgb="FFFF6600"/>
      <rgbColor rgb="FF666699"/>
      <rgbColor rgb="FF8296A4"/>
      <rgbColor rgb="FF003366"/>
      <rgbColor rgb="FF339966"/>
      <rgbColor rgb="FF003300"/>
      <rgbColor rgb="FF333300"/>
      <rgbColor rgb="FF993300"/>
      <rgbColor rgb="FF801C35"/>
      <rgbColor rgb="FF333399"/>
      <rgbColor rgb="FF182B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05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Reach and support in hypothetical campaigns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"Reach rate"</c:f>
              <c:strCache>
                <c:ptCount val="1"/>
                <c:pt idx="0">
                  <c:v>Reach rate</c:v>
                </c:pt>
              </c:strCache>
            </c:strRef>
          </c:tx>
          <c:spPr>
            <a:solidFill>
              <a:srgbClr val="801C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Measurement Lab'!$B$16:$B$17</c:f>
              <c:strCache>
                <c:ptCount val="2"/>
                <c:pt idx="0">
                  <c:v>Campaign A</c:v>
                </c:pt>
                <c:pt idx="1">
                  <c:v>Campaign B</c:v>
                </c:pt>
              </c:strCache>
            </c:strRef>
          </c:cat>
          <c:val>
            <c:numRef>
              <c:f>'3 Measurement Lab'!$C$16:$C$17</c:f>
              <c:numCache>
                <c:formatCode>0.0%</c:formatCode>
                <c:ptCount val="2"/>
                <c:pt idx="0">
                  <c:v>0.8</c:v>
                </c:pt>
                <c:pt idx="1">
                  <c:v>0.4</c:v>
                </c:pt>
              </c:numCache>
            </c:numRef>
          </c:val>
        </c:ser>
        <c:ser>
          <c:idx val="1"/>
          <c:order val="1"/>
          <c:tx>
            <c:strRef>
              <c:f>"Support before"</c:f>
              <c:strCache>
                <c:ptCount val="1"/>
                <c:pt idx="0">
                  <c:v>Support before</c:v>
                </c:pt>
              </c:strCache>
            </c:strRef>
          </c:tx>
          <c:spPr>
            <a:solidFill>
              <a:srgbClr val="8296A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Measurement Lab'!$B$16:$B$17</c:f>
              <c:strCache>
                <c:ptCount val="2"/>
                <c:pt idx="0">
                  <c:v>Campaign A</c:v>
                </c:pt>
                <c:pt idx="1">
                  <c:v>Campaign B</c:v>
                </c:pt>
              </c:strCache>
            </c:strRef>
          </c:cat>
          <c:val>
            <c:numRef>
              <c:f>'3 Measurement Lab'!$D$16:$D$17</c:f>
              <c:numCache>
                <c:formatCode>0.0%</c:formatCode>
                <c:ptCount val="2"/>
                <c:pt idx="0">
                  <c:v>0.4</c:v>
                </c:pt>
                <c:pt idx="1">
                  <c:v>0.4</c:v>
                </c:pt>
              </c:numCache>
            </c:numRef>
          </c:val>
        </c:ser>
        <c:ser>
          <c:idx val="2"/>
          <c:order val="2"/>
          <c:tx>
            <c:strRef>
              <c:f>"Support after"</c:f>
              <c:strCache>
                <c:ptCount val="1"/>
                <c:pt idx="0">
                  <c:v>Support after</c:v>
                </c:pt>
              </c:strCache>
            </c:strRef>
          </c:tx>
          <c:spPr>
            <a:solidFill>
              <a:srgbClr val="D9B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 Measurement Lab'!$B$16:$B$17</c:f>
              <c:strCache>
                <c:ptCount val="2"/>
                <c:pt idx="0">
                  <c:v>Campaign A</c:v>
                </c:pt>
                <c:pt idx="1">
                  <c:v>Campaign B</c:v>
                </c:pt>
              </c:strCache>
            </c:strRef>
          </c:cat>
          <c:val>
            <c:numRef>
              <c:f>'3 Measurement Lab'!$E$16:$E$17</c:f>
              <c:numCache>
                <c:formatCode>0.0%</c:formatCode>
                <c:ptCount val="2"/>
                <c:pt idx="0">
                  <c:v>0.44</c:v>
                </c:pt>
                <c:pt idx="1">
                  <c:v>0.55</c:v>
                </c:pt>
              </c:numCache>
            </c:numRef>
          </c:val>
        </c:ser>
        <c:gapWidth val="150"/>
        <c:overlap val="0"/>
        <c:axId val="12972810"/>
        <c:axId val="99939787"/>
      </c:barChart>
      <c:catAx>
        <c:axId val="1297281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99939787"/>
        <c:crosses val="autoZero"/>
        <c:auto val="1"/>
        <c:lblAlgn val="ctr"/>
        <c:lblOffset val="100"/>
        <c:noMultiLvlLbl val="0"/>
      </c:catAx>
      <c:valAx>
        <c:axId val="99939787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12972810"/>
        <c:crosses val="autoZero"/>
        <c:crossBetween val="between"/>
      </c:valAx>
      <c:spPr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7</xdr:col>
      <xdr:colOff>1644480</xdr:colOff>
      <xdr:row>34</xdr:row>
      <xdr:rowOff>317160</xdr:rowOff>
    </xdr:to>
    <xdr:graphicFrame>
      <xdr:nvGraphicFramePr>
        <xdr:cNvPr id="1" name="Chart"/>
        <xdr:cNvGraphicFramePr/>
      </xdr:nvGraphicFramePr>
      <xdr:xfrm>
        <a:off x="187920" y="8064360"/>
        <a:ext cx="845856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1C35"/>
    <pageSetUpPr fitToPage="false"/>
  </sheetPr>
  <dimension ref="A1:H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6.11"/>
    <col collapsed="false" customWidth="true" hidden="false" outlineLevel="0" max="3" min="3" style="0" width="22.78"/>
    <col collapsed="false" customWidth="true" hidden="false" outlineLevel="0" max="4" min="4" style="0" width="40.56"/>
    <col collapsed="false" customWidth="true" hidden="false" outlineLevel="0" max="5" min="5" style="0" width="33.33"/>
    <col collapsed="false" customWidth="true" hidden="false" outlineLevel="0" max="6" min="6" style="0" width="13.34"/>
    <col collapsed="false" customWidth="true" hidden="false" outlineLevel="0" max="7" min="7" style="0" width="17.78"/>
    <col collapsed="false" customWidth="true" hidden="false" outlineLevel="0" max="8" min="8" style="0" width="2.67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1" hidden="false" customHeight="true" outlineLevel="0" collapsed="false">
      <c r="A2" s="1"/>
      <c r="B2" s="2" t="s">
        <v>0</v>
      </c>
      <c r="C2" s="1"/>
      <c r="D2" s="1"/>
      <c r="E2" s="1"/>
      <c r="F2" s="1"/>
      <c r="G2" s="1"/>
      <c r="H2" s="1"/>
    </row>
    <row r="3" customFormat="false" ht="25" hidden="false" customHeight="true" outlineLevel="0" collapsed="false">
      <c r="A3" s="1"/>
      <c r="B3" s="3"/>
      <c r="C3" s="3"/>
      <c r="D3" s="3"/>
      <c r="E3" s="3"/>
      <c r="F3" s="3"/>
      <c r="G3" s="3"/>
      <c r="H3" s="1"/>
    </row>
    <row r="4" customFormat="false" ht="26" hidden="false" customHeight="true" outlineLevel="0" collapsed="false">
      <c r="A4" s="1"/>
      <c r="B4" s="1" t="s">
        <v>1</v>
      </c>
      <c r="C4" s="1"/>
      <c r="D4" s="1"/>
      <c r="E4" s="1"/>
      <c r="F4" s="1"/>
      <c r="G4" s="1"/>
      <c r="H4" s="1"/>
    </row>
    <row r="5" customFormat="false" ht="26" hidden="false" customHeight="true" outlineLevel="0" collapsed="false">
      <c r="A5" s="1"/>
      <c r="B5" s="1" t="s">
        <v>2</v>
      </c>
      <c r="C5" s="1"/>
      <c r="D5" s="1"/>
      <c r="E5" s="1"/>
      <c r="F5" s="1"/>
      <c r="G5" s="1"/>
      <c r="H5" s="1"/>
    </row>
    <row r="6" customFormat="false" ht="26" hidden="false" customHeight="true" outlineLevel="0" collapsed="false">
      <c r="A6" s="1"/>
      <c r="B6" s="1" t="s">
        <v>3</v>
      </c>
      <c r="C6" s="1"/>
      <c r="D6" s="1"/>
      <c r="E6" s="1"/>
      <c r="F6" s="1"/>
      <c r="G6" s="1"/>
      <c r="H6" s="1"/>
    </row>
    <row r="7" customFormat="false" ht="25" hidden="false" customHeight="true" outlineLevel="0" collapsed="false">
      <c r="A7" s="1"/>
      <c r="B7" s="1"/>
      <c r="C7" s="1"/>
      <c r="D7" s="1"/>
      <c r="E7" s="1"/>
      <c r="F7" s="1"/>
      <c r="G7" s="1"/>
      <c r="H7" s="1"/>
    </row>
    <row r="8" customFormat="false" ht="26" hidden="false" customHeight="true" outlineLevel="0" collapsed="false">
      <c r="A8" s="1"/>
      <c r="B8" s="1" t="s">
        <v>4</v>
      </c>
      <c r="C8" s="1"/>
      <c r="D8" s="1"/>
      <c r="E8" s="1"/>
      <c r="F8" s="1"/>
      <c r="G8" s="1"/>
      <c r="H8" s="1"/>
    </row>
    <row r="9" customFormat="false" ht="26" hidden="false" customHeight="true" outlineLevel="0" collapsed="false">
      <c r="A9" s="1"/>
      <c r="B9" s="1" t="s">
        <v>5</v>
      </c>
      <c r="C9" s="1"/>
      <c r="D9" s="1"/>
      <c r="E9" s="1"/>
      <c r="F9" s="1"/>
      <c r="G9" s="1"/>
      <c r="H9" s="1"/>
    </row>
    <row r="10" customFormat="false" ht="25" hidden="false" customHeight="tru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42" hidden="false" customHeight="true" outlineLevel="0" collapsed="false">
      <c r="A11" s="1"/>
      <c r="B11" s="4" t="s">
        <v>6</v>
      </c>
      <c r="C11" s="4" t="s">
        <v>7</v>
      </c>
      <c r="D11" s="4" t="s">
        <v>8</v>
      </c>
      <c r="E11" s="4" t="s">
        <v>9</v>
      </c>
      <c r="F11" s="4" t="s">
        <v>10</v>
      </c>
      <c r="G11" s="4" t="s">
        <v>11</v>
      </c>
      <c r="H11" s="1"/>
    </row>
    <row r="12" customFormat="false" ht="60" hidden="false" customHeight="true" outlineLevel="0" collapsed="false">
      <c r="A12" s="1"/>
      <c r="B12" s="5" t="n">
        <v>1</v>
      </c>
      <c r="C12" s="6" t="s">
        <v>12</v>
      </c>
      <c r="D12" s="6" t="s">
        <v>13</v>
      </c>
      <c r="E12" s="6" t="s">
        <v>14</v>
      </c>
      <c r="F12" s="7" t="str">
        <f aca="false">HYPERLINK("https://mayhewforever.github.io/kamudiplomasisi/notes/Week_01_Lecture_Notes_EN.html","Open lecture notes")</f>
        <v>Open lecture notes</v>
      </c>
      <c r="G12" s="8" t="s">
        <v>15</v>
      </c>
      <c r="H12" s="1"/>
    </row>
    <row r="13" customFormat="false" ht="60" hidden="false" customHeight="true" outlineLevel="0" collapsed="false">
      <c r="A13" s="1"/>
      <c r="B13" s="9" t="n">
        <v>2</v>
      </c>
      <c r="C13" s="10" t="s">
        <v>16</v>
      </c>
      <c r="D13" s="10" t="s">
        <v>17</v>
      </c>
      <c r="E13" s="10" t="s">
        <v>18</v>
      </c>
      <c r="F13" s="11" t="str">
        <f aca="false">HYPERLINK("https://mayhewforever.github.io/kamudiplomasisi/notes/Week_02_Lecture_Notes_EN.html","Open lecture notes")</f>
        <v>Open lecture notes</v>
      </c>
      <c r="G13" s="12" t="s">
        <v>15</v>
      </c>
      <c r="H13" s="1"/>
    </row>
    <row r="14" customFormat="false" ht="60" hidden="false" customHeight="true" outlineLevel="0" collapsed="false">
      <c r="A14" s="1"/>
      <c r="B14" s="9" t="n">
        <v>3</v>
      </c>
      <c r="C14" s="10" t="s">
        <v>19</v>
      </c>
      <c r="D14" s="10" t="s">
        <v>20</v>
      </c>
      <c r="E14" s="10" t="s">
        <v>21</v>
      </c>
      <c r="F14" s="11" t="str">
        <f aca="false">HYPERLINK("https://mayhewforever.github.io/kamudiplomasisi/notes/Week_03_Lecture_Notes_EN.html","Open lecture notes")</f>
        <v>Open lecture notes</v>
      </c>
      <c r="G14" s="12" t="s">
        <v>15</v>
      </c>
      <c r="H14" s="1"/>
    </row>
    <row r="15" customFormat="false" ht="60" hidden="false" customHeight="true" outlineLevel="0" collapsed="false">
      <c r="A15" s="1"/>
      <c r="B15" s="9" t="n">
        <v>4</v>
      </c>
      <c r="C15" s="10" t="s">
        <v>22</v>
      </c>
      <c r="D15" s="10" t="s">
        <v>23</v>
      </c>
      <c r="E15" s="10" t="s">
        <v>24</v>
      </c>
      <c r="F15" s="11" t="str">
        <f aca="false">HYPERLINK("https://mayhewforever.github.io/kamudiplomasisi/notes/Week_04_Lecture_Notes_EN.html","Open lecture notes")</f>
        <v>Open lecture notes</v>
      </c>
      <c r="G15" s="12" t="s">
        <v>15</v>
      </c>
      <c r="H15" s="1"/>
    </row>
    <row r="16" customFormat="false" ht="60" hidden="false" customHeight="true" outlineLevel="0" collapsed="false">
      <c r="A16" s="1"/>
      <c r="B16" s="9" t="n">
        <v>5</v>
      </c>
      <c r="C16" s="10" t="s">
        <v>25</v>
      </c>
      <c r="D16" s="10" t="s">
        <v>26</v>
      </c>
      <c r="E16" s="10" t="s">
        <v>27</v>
      </c>
      <c r="F16" s="11" t="str">
        <f aca="false">HYPERLINK("https://mayhewforever.github.io/kamudiplomasisi/notes/Week_05_Lecture_Notes_EN.html","Open lecture notes")</f>
        <v>Open lecture notes</v>
      </c>
      <c r="G16" s="12" t="s">
        <v>15</v>
      </c>
      <c r="H16" s="1"/>
    </row>
    <row r="17" customFormat="false" ht="60" hidden="false" customHeight="true" outlineLevel="0" collapsed="false">
      <c r="A17" s="1"/>
      <c r="B17" s="9" t="n">
        <v>6</v>
      </c>
      <c r="C17" s="10" t="s">
        <v>28</v>
      </c>
      <c r="D17" s="10" t="s">
        <v>29</v>
      </c>
      <c r="E17" s="10" t="s">
        <v>30</v>
      </c>
      <c r="F17" s="11" t="str">
        <f aca="false">HYPERLINK("https://mayhewforever.github.io/kamudiplomasisi/notes/Week_06_Lecture_Notes_EN.html","Open lecture notes")</f>
        <v>Open lecture notes</v>
      </c>
      <c r="G17" s="12" t="s">
        <v>15</v>
      </c>
      <c r="H17" s="1"/>
    </row>
    <row r="18" customFormat="false" ht="60" hidden="false" customHeight="true" outlineLevel="0" collapsed="false">
      <c r="A18" s="1"/>
      <c r="B18" s="9" t="n">
        <v>7</v>
      </c>
      <c r="C18" s="10" t="s">
        <v>31</v>
      </c>
      <c r="D18" s="10" t="s">
        <v>32</v>
      </c>
      <c r="E18" s="10" t="s">
        <v>33</v>
      </c>
      <c r="F18" s="11" t="str">
        <f aca="false">HYPERLINK("https://mayhewforever.github.io/kamudiplomasisi/notes/Week_07_Lecture_Notes_EN.html","Open lecture notes")</f>
        <v>Open lecture notes</v>
      </c>
      <c r="G18" s="12" t="s">
        <v>15</v>
      </c>
      <c r="H18" s="1"/>
    </row>
    <row r="19" customFormat="false" ht="60" hidden="false" customHeight="true" outlineLevel="0" collapsed="false">
      <c r="A19" s="1"/>
      <c r="B19" s="9" t="n">
        <v>8</v>
      </c>
      <c r="C19" s="10" t="s">
        <v>34</v>
      </c>
      <c r="D19" s="10" t="s">
        <v>35</v>
      </c>
      <c r="E19" s="10" t="s">
        <v>36</v>
      </c>
      <c r="F19" s="11" t="str">
        <f aca="false">HYPERLINK("https://mayhewforever.github.io/kamudiplomasisi/notes/Week_08_Lecture_Notes_EN.html","Open lecture notes")</f>
        <v>Open lecture notes</v>
      </c>
      <c r="G19" s="12" t="s">
        <v>15</v>
      </c>
      <c r="H19" s="1"/>
    </row>
    <row r="20" customFormat="false" ht="60" hidden="false" customHeight="true" outlineLevel="0" collapsed="false">
      <c r="A20" s="1"/>
      <c r="B20" s="9" t="n">
        <v>9</v>
      </c>
      <c r="C20" s="10" t="s">
        <v>37</v>
      </c>
      <c r="D20" s="10" t="s">
        <v>38</v>
      </c>
      <c r="E20" s="10" t="s">
        <v>39</v>
      </c>
      <c r="F20" s="11" t="str">
        <f aca="false">HYPERLINK("https://mayhewforever.github.io/kamudiplomasisi/notes/Week_09_Lecture_Notes_EN.html","Open lecture notes")</f>
        <v>Open lecture notes</v>
      </c>
      <c r="G20" s="12" t="s">
        <v>15</v>
      </c>
      <c r="H20" s="1"/>
    </row>
    <row r="21" customFormat="false" ht="60" hidden="false" customHeight="true" outlineLevel="0" collapsed="false">
      <c r="A21" s="1"/>
      <c r="B21" s="9" t="n">
        <v>10</v>
      </c>
      <c r="C21" s="10" t="s">
        <v>40</v>
      </c>
      <c r="D21" s="10" t="s">
        <v>41</v>
      </c>
      <c r="E21" s="10" t="s">
        <v>42</v>
      </c>
      <c r="F21" s="11" t="str">
        <f aca="false">HYPERLINK("https://mayhewforever.github.io/kamudiplomasisi/notes/Week_10_Lecture_Notes_EN.html","Open lecture notes")</f>
        <v>Open lecture notes</v>
      </c>
      <c r="G21" s="12" t="s">
        <v>15</v>
      </c>
      <c r="H21" s="1"/>
    </row>
    <row r="22" customFormat="false" ht="60" hidden="false" customHeight="true" outlineLevel="0" collapsed="false">
      <c r="A22" s="1"/>
      <c r="B22" s="9" t="n">
        <v>11</v>
      </c>
      <c r="C22" s="10" t="s">
        <v>43</v>
      </c>
      <c r="D22" s="10" t="s">
        <v>44</v>
      </c>
      <c r="E22" s="10" t="s">
        <v>45</v>
      </c>
      <c r="F22" s="11" t="str">
        <f aca="false">HYPERLINK("https://mayhewforever.github.io/kamudiplomasisi/notes/Week_11_Lecture_Notes_EN.html","Open lecture notes")</f>
        <v>Open lecture notes</v>
      </c>
      <c r="G22" s="12" t="s">
        <v>15</v>
      </c>
      <c r="H22" s="1"/>
    </row>
    <row r="23" customFormat="false" ht="60" hidden="false" customHeight="true" outlineLevel="0" collapsed="false">
      <c r="A23" s="1"/>
      <c r="B23" s="9" t="n">
        <v>12</v>
      </c>
      <c r="C23" s="10" t="s">
        <v>46</v>
      </c>
      <c r="D23" s="10" t="s">
        <v>47</v>
      </c>
      <c r="E23" s="10" t="s">
        <v>48</v>
      </c>
      <c r="F23" s="11" t="str">
        <f aca="false">HYPERLINK("https://mayhewforever.github.io/kamudiplomasisi/notes/Week_12_Lecture_Notes_EN.html","Open lecture notes")</f>
        <v>Open lecture notes</v>
      </c>
      <c r="G23" s="12" t="s">
        <v>15</v>
      </c>
      <c r="H23" s="1"/>
    </row>
    <row r="24" customFormat="false" ht="60" hidden="false" customHeight="true" outlineLevel="0" collapsed="false">
      <c r="A24" s="1"/>
      <c r="B24" s="9" t="n">
        <v>13</v>
      </c>
      <c r="C24" s="10" t="s">
        <v>49</v>
      </c>
      <c r="D24" s="10" t="s">
        <v>50</v>
      </c>
      <c r="E24" s="10" t="s">
        <v>51</v>
      </c>
      <c r="F24" s="11" t="str">
        <f aca="false">HYPERLINK("https://mayhewforever.github.io/kamudiplomasisi/notes/Week_13_Lecture_Notes_EN.html","Open lecture notes")</f>
        <v>Open lecture notes</v>
      </c>
      <c r="G24" s="12" t="s">
        <v>15</v>
      </c>
      <c r="H24" s="1"/>
    </row>
    <row r="25" customFormat="false" ht="60" hidden="false" customHeight="true" outlineLevel="0" collapsed="false">
      <c r="A25" s="1"/>
      <c r="B25" s="13" t="n">
        <v>14</v>
      </c>
      <c r="C25" s="14" t="s">
        <v>52</v>
      </c>
      <c r="D25" s="14" t="s">
        <v>53</v>
      </c>
      <c r="E25" s="14" t="s">
        <v>54</v>
      </c>
      <c r="F25" s="15" t="str">
        <f aca="false">HYPERLINK("https://mayhewforever.github.io/kamudiplomasisi/notes/Week_14_Lecture_Notes_EN.html","Open lecture notes")</f>
        <v>Open lecture notes</v>
      </c>
      <c r="G25" s="16" t="s">
        <v>15</v>
      </c>
      <c r="H25" s="1"/>
    </row>
    <row r="26" customFormat="false" ht="25" hidden="false" customHeight="tru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25" hidden="false" customHeight="tru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26" hidden="false" customHeight="true" outlineLevel="0" collapsed="false">
      <c r="A28" s="1"/>
      <c r="B28" s="1" t="s">
        <v>55</v>
      </c>
      <c r="C28" s="1"/>
      <c r="D28" s="1"/>
      <c r="E28" s="1"/>
      <c r="F28" s="1"/>
      <c r="G28" s="1"/>
      <c r="H28" s="1"/>
    </row>
    <row r="29" customFormat="false" ht="25" hidden="false" customHeight="tru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26" hidden="false" customHeight="true" outlineLevel="0" collapsed="false">
      <c r="A30" s="1"/>
      <c r="B30" s="1" t="s">
        <v>56</v>
      </c>
      <c r="C30" s="1"/>
      <c r="D30" s="1"/>
      <c r="E30" s="1"/>
      <c r="F30" s="1"/>
      <c r="G30" s="1"/>
      <c r="H30" s="1"/>
    </row>
    <row r="31" customFormat="false" ht="25" hidden="false" customHeight="tru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26" hidden="false" customHeight="true" outlineLevel="0" collapsed="false">
      <c r="A32" s="1"/>
      <c r="B32" s="1" t="s">
        <v>57</v>
      </c>
      <c r="C32" s="1"/>
      <c r="D32" s="1"/>
      <c r="E32" s="1"/>
      <c r="F32" s="1"/>
      <c r="G32" s="1"/>
      <c r="H32" s="1"/>
    </row>
    <row r="33" customFormat="false" ht="25" hidden="false" customHeight="tru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25" hidden="false" customHeight="true" outlineLevel="0" collapsed="false">
      <c r="A34" s="1"/>
      <c r="B34" s="1"/>
      <c r="C34" s="1"/>
      <c r="D34" s="1"/>
      <c r="E34" s="1"/>
      <c r="F34" s="1"/>
      <c r="G34" s="1"/>
      <c r="H34" s="1"/>
    </row>
  </sheetData>
  <dataValidations count="1">
    <dataValidation allowBlank="false" errorStyle="stop" operator="between" showDropDown="false" showErrorMessage="false" showInputMessage="false" sqref="G12:G25" type="list">
      <formula1>"Not started,In progress,Completed"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1C35"/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20"/>
    <col collapsed="false" customWidth="true" hidden="false" outlineLevel="0" max="3" min="3" style="0" width="22.78"/>
    <col collapsed="false" customWidth="true" hidden="false" outlineLevel="0" max="4" min="4" style="0" width="23.33"/>
    <col collapsed="false" customWidth="true" hidden="false" outlineLevel="0" max="5" min="5" style="0" width="23.89"/>
    <col collapsed="false" customWidth="true" hidden="false" outlineLevel="0" max="6" min="6" style="0" width="23.33"/>
    <col collapsed="false" customWidth="true" hidden="false" outlineLevel="0" max="7" min="7" style="0" width="22.22"/>
    <col collapsed="false" customWidth="true" hidden="false" outlineLevel="0" max="8" min="8" style="0" width="14.44"/>
    <col collapsed="false" customWidth="true" hidden="false" outlineLevel="0" max="9" min="9" style="0" width="2.67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1" hidden="false" customHeight="true" outlineLevel="0" collapsed="false">
      <c r="A2" s="1"/>
      <c r="B2" s="2" t="s">
        <v>58</v>
      </c>
      <c r="C2" s="1"/>
      <c r="D2" s="1"/>
      <c r="E2" s="1"/>
      <c r="F2" s="1"/>
      <c r="G2" s="1"/>
      <c r="H2" s="1"/>
      <c r="I2" s="1"/>
    </row>
    <row r="3" customFormat="false" ht="2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1"/>
    </row>
    <row r="4" customFormat="false" ht="26" hidden="false" customHeight="true" outlineLevel="0" collapsed="false">
      <c r="A4" s="1"/>
      <c r="B4" s="1" t="s">
        <v>59</v>
      </c>
      <c r="C4" s="1"/>
      <c r="D4" s="1"/>
      <c r="E4" s="1"/>
      <c r="F4" s="1"/>
      <c r="G4" s="1"/>
      <c r="H4" s="1"/>
      <c r="I4" s="1"/>
    </row>
    <row r="5" customFormat="false" ht="26" hidden="false" customHeight="true" outlineLevel="0" collapsed="false">
      <c r="A5" s="1"/>
      <c r="B5" s="1" t="s">
        <v>60</v>
      </c>
      <c r="C5" s="1"/>
      <c r="D5" s="1"/>
      <c r="E5" s="1"/>
      <c r="F5" s="1"/>
      <c r="G5" s="1"/>
      <c r="H5" s="1"/>
      <c r="I5" s="1"/>
    </row>
    <row r="6" customFormat="false" ht="26" hidden="false" customHeight="true" outlineLevel="0" collapsed="false">
      <c r="A6" s="1"/>
      <c r="B6" s="1" t="s">
        <v>61</v>
      </c>
      <c r="C6" s="1"/>
      <c r="D6" s="1"/>
      <c r="E6" s="1"/>
      <c r="F6" s="1"/>
      <c r="G6" s="1"/>
      <c r="H6" s="1"/>
      <c r="I6" s="1"/>
    </row>
    <row r="7" customFormat="false" ht="2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26" hidden="false" customHeight="true" outlineLevel="0" collapsed="false">
      <c r="A8" s="1"/>
      <c r="B8" s="1" t="s">
        <v>62</v>
      </c>
      <c r="C8" s="1"/>
      <c r="D8" s="1"/>
      <c r="E8" s="1"/>
      <c r="F8" s="1"/>
      <c r="G8" s="1"/>
      <c r="H8" s="1"/>
      <c r="I8" s="1"/>
    </row>
    <row r="9" customFormat="false" ht="2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42" hidden="false" customHeight="true" outlineLevel="0" collapsed="false">
      <c r="A10" s="1"/>
      <c r="B10" s="4" t="s">
        <v>63</v>
      </c>
      <c r="C10" s="4" t="s">
        <v>64</v>
      </c>
      <c r="D10" s="4" t="s">
        <v>65</v>
      </c>
      <c r="E10" s="4" t="s">
        <v>66</v>
      </c>
      <c r="F10" s="4" t="s">
        <v>67</v>
      </c>
      <c r="G10" s="4" t="s">
        <v>68</v>
      </c>
      <c r="H10" s="4" t="s">
        <v>69</v>
      </c>
      <c r="I10" s="1"/>
    </row>
    <row r="11" customFormat="false" ht="65" hidden="false" customHeight="true" outlineLevel="0" collapsed="false">
      <c r="A11" s="1"/>
      <c r="B11" s="6" t="s">
        <v>70</v>
      </c>
      <c r="C11" s="6" t="s">
        <v>71</v>
      </c>
      <c r="D11" s="6" t="s">
        <v>72</v>
      </c>
      <c r="E11" s="6" t="s">
        <v>73</v>
      </c>
      <c r="F11" s="6" t="s">
        <v>74</v>
      </c>
      <c r="G11" s="6" t="s">
        <v>75</v>
      </c>
      <c r="H11" s="7" t="str">
        <f aca="false">HYPERLINK("https://mayhewforever.github.io/kamudiplomasisi/notes/Week_06_Lecture_Notes_EN.html","Open lecture notes")</f>
        <v>Open lecture notes</v>
      </c>
      <c r="I11" s="1"/>
    </row>
    <row r="12" customFormat="false" ht="65" hidden="false" customHeight="true" outlineLevel="0" collapsed="false">
      <c r="A12" s="1"/>
      <c r="B12" s="10" t="s">
        <v>76</v>
      </c>
      <c r="C12" s="10" t="s">
        <v>77</v>
      </c>
      <c r="D12" s="10" t="s">
        <v>78</v>
      </c>
      <c r="E12" s="10" t="s">
        <v>79</v>
      </c>
      <c r="F12" s="10" t="s">
        <v>80</v>
      </c>
      <c r="G12" s="10" t="s">
        <v>81</v>
      </c>
      <c r="H12" s="11" t="str">
        <f aca="false">HYPERLINK("https://mayhewforever.github.io/kamudiplomasisi/notes/Week_07_Lecture_Notes_EN.html","Open lecture notes")</f>
        <v>Open lecture notes</v>
      </c>
      <c r="I12" s="1"/>
    </row>
    <row r="13" customFormat="false" ht="65" hidden="false" customHeight="true" outlineLevel="0" collapsed="false">
      <c r="A13" s="1"/>
      <c r="B13" s="14" t="s">
        <v>82</v>
      </c>
      <c r="C13" s="14" t="s">
        <v>83</v>
      </c>
      <c r="D13" s="14" t="s">
        <v>84</v>
      </c>
      <c r="E13" s="14" t="s">
        <v>85</v>
      </c>
      <c r="F13" s="14" t="s">
        <v>86</v>
      </c>
      <c r="G13" s="14" t="s">
        <v>87</v>
      </c>
      <c r="H13" s="15" t="str">
        <f aca="false">HYPERLINK("https://mayhewforever.github.io/kamudiplomasisi/notes/Week_11_Lecture_Notes_EN.html","Open lecture notes")</f>
        <v>Open lecture notes</v>
      </c>
      <c r="I13" s="1"/>
    </row>
    <row r="14" customFormat="false" ht="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26" hidden="false" customHeight="true" outlineLevel="0" collapsed="false">
      <c r="A15" s="1"/>
      <c r="B15" s="1" t="s">
        <v>88</v>
      </c>
      <c r="C15" s="1"/>
      <c r="D15" s="1"/>
      <c r="E15" s="1"/>
      <c r="F15" s="1"/>
      <c r="G15" s="1"/>
      <c r="H15" s="1"/>
      <c r="I15" s="1"/>
    </row>
    <row r="16" customFormat="false" ht="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42" hidden="false" customHeight="true" outlineLevel="0" collapsed="false">
      <c r="A17" s="1"/>
      <c r="B17" s="4" t="s">
        <v>89</v>
      </c>
      <c r="C17" s="4" t="s">
        <v>64</v>
      </c>
      <c r="D17" s="4" t="s">
        <v>90</v>
      </c>
      <c r="E17" s="4" t="s">
        <v>91</v>
      </c>
      <c r="F17" s="4" t="s">
        <v>92</v>
      </c>
      <c r="G17" s="4" t="s">
        <v>93</v>
      </c>
      <c r="H17" s="4" t="s">
        <v>94</v>
      </c>
      <c r="I17" s="1"/>
    </row>
    <row r="18" customFormat="false" ht="74" hidden="false" customHeight="true" outlineLevel="0" collapsed="false">
      <c r="A18" s="1"/>
      <c r="B18" s="8" t="s">
        <v>95</v>
      </c>
      <c r="C18" s="8"/>
      <c r="D18" s="8"/>
      <c r="E18" s="8"/>
      <c r="F18" s="8"/>
      <c r="G18" s="8"/>
      <c r="H18" s="8"/>
      <c r="I18" s="1"/>
    </row>
    <row r="19" customFormat="false" ht="74" hidden="false" customHeight="true" outlineLevel="0" collapsed="false">
      <c r="A19" s="1"/>
      <c r="B19" s="12" t="s">
        <v>96</v>
      </c>
      <c r="C19" s="12"/>
      <c r="D19" s="12"/>
      <c r="E19" s="12"/>
      <c r="F19" s="12"/>
      <c r="G19" s="12"/>
      <c r="H19" s="12"/>
      <c r="I19" s="1"/>
    </row>
    <row r="20" customFormat="false" ht="74" hidden="false" customHeight="true" outlineLevel="0" collapsed="false">
      <c r="A20" s="1"/>
      <c r="B20" s="12" t="s">
        <v>97</v>
      </c>
      <c r="C20" s="12"/>
      <c r="D20" s="12"/>
      <c r="E20" s="12"/>
      <c r="F20" s="12"/>
      <c r="G20" s="12"/>
      <c r="H20" s="12"/>
      <c r="I20" s="1"/>
    </row>
    <row r="21" customFormat="false" ht="74" hidden="false" customHeight="true" outlineLevel="0" collapsed="false">
      <c r="A21" s="1"/>
      <c r="B21" s="16" t="s">
        <v>98</v>
      </c>
      <c r="C21" s="16"/>
      <c r="D21" s="16"/>
      <c r="E21" s="16"/>
      <c r="F21" s="16"/>
      <c r="G21" s="16"/>
      <c r="H21" s="16"/>
      <c r="I21" s="1"/>
    </row>
    <row r="22" customFormat="false" ht="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26" hidden="false" customHeight="true" outlineLevel="0" collapsed="false">
      <c r="A23" s="1"/>
      <c r="B23" s="1" t="s">
        <v>99</v>
      </c>
      <c r="C23" s="1"/>
      <c r="D23" s="1"/>
      <c r="E23" s="1"/>
      <c r="F23" s="1"/>
      <c r="G23" s="1"/>
      <c r="H23" s="1"/>
      <c r="I23" s="1"/>
    </row>
    <row r="24" customFormat="false" ht="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26" hidden="false" customHeight="true" outlineLevel="0" collapsed="false">
      <c r="A25" s="1"/>
      <c r="B25" s="1" t="s">
        <v>100</v>
      </c>
      <c r="C25" s="1"/>
      <c r="D25" s="1"/>
      <c r="E25" s="1"/>
      <c r="F25" s="1"/>
      <c r="G25" s="1"/>
      <c r="H25" s="1"/>
      <c r="I25" s="1"/>
    </row>
    <row r="26" customFormat="false" ht="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1C35"/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18.34"/>
    <col collapsed="false" customWidth="true" hidden="false" outlineLevel="0" max="4" min="3" style="0" width="15.56"/>
    <col collapsed="false" customWidth="true" hidden="false" outlineLevel="0" max="5" min="5" style="0" width="16.11"/>
    <col collapsed="false" customWidth="true" hidden="false" outlineLevel="0" max="7" min="6" style="0" width="15.56"/>
    <col collapsed="false" customWidth="true" hidden="false" outlineLevel="0" max="8" min="8" style="0" width="23.33"/>
    <col collapsed="false" customWidth="true" hidden="false" outlineLevel="0" max="9" min="9" style="0" width="2.67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1" hidden="false" customHeight="true" outlineLevel="0" collapsed="false">
      <c r="A2" s="1"/>
      <c r="B2" s="2" t="s">
        <v>101</v>
      </c>
      <c r="C2" s="1"/>
      <c r="D2" s="1"/>
      <c r="E2" s="1"/>
      <c r="F2" s="1"/>
      <c r="G2" s="1"/>
      <c r="H2" s="1"/>
      <c r="I2" s="1"/>
    </row>
    <row r="3" customFormat="false" ht="2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1"/>
    </row>
    <row r="4" customFormat="false" ht="26" hidden="false" customHeight="true" outlineLevel="0" collapsed="false">
      <c r="A4" s="1"/>
      <c r="B4" s="1" t="s">
        <v>102</v>
      </c>
      <c r="C4" s="1"/>
      <c r="D4" s="1"/>
      <c r="E4" s="1"/>
      <c r="F4" s="1"/>
      <c r="G4" s="1"/>
      <c r="H4" s="1"/>
      <c r="I4" s="1"/>
    </row>
    <row r="5" customFormat="false" ht="26" hidden="false" customHeight="true" outlineLevel="0" collapsed="false">
      <c r="A5" s="1"/>
      <c r="B5" s="1" t="s">
        <v>103</v>
      </c>
      <c r="C5" s="1"/>
      <c r="D5" s="1"/>
      <c r="E5" s="1"/>
      <c r="F5" s="1"/>
      <c r="G5" s="1"/>
      <c r="H5" s="1"/>
      <c r="I5" s="1"/>
    </row>
    <row r="6" customFormat="false" ht="26" hidden="false" customHeight="true" outlineLevel="0" collapsed="false">
      <c r="A6" s="1"/>
      <c r="B6" s="1" t="s">
        <v>104</v>
      </c>
      <c r="C6" s="1"/>
      <c r="D6" s="1"/>
      <c r="E6" s="1"/>
      <c r="F6" s="1"/>
      <c r="G6" s="1"/>
      <c r="H6" s="1"/>
      <c r="I6" s="1"/>
    </row>
    <row r="7" customFormat="false" ht="26" hidden="false" customHeight="true" outlineLevel="0" collapsed="false">
      <c r="A7" s="1"/>
      <c r="B7" s="1" t="s">
        <v>105</v>
      </c>
      <c r="C7" s="1"/>
      <c r="D7" s="1"/>
      <c r="E7" s="1"/>
      <c r="F7" s="1"/>
      <c r="G7" s="1"/>
      <c r="H7" s="1"/>
      <c r="I7" s="1"/>
    </row>
    <row r="8" customFormat="false" ht="26" hidden="false" customHeight="true" outlineLevel="0" collapsed="false">
      <c r="A8" s="1"/>
      <c r="B8" s="1" t="s">
        <v>106</v>
      </c>
      <c r="C8" s="1"/>
      <c r="D8" s="1"/>
      <c r="E8" s="1"/>
      <c r="F8" s="1"/>
      <c r="G8" s="1"/>
      <c r="H8" s="1"/>
      <c r="I8" s="1"/>
    </row>
    <row r="9" customFormat="false" ht="42" hidden="false" customHeight="true" outlineLevel="0" collapsed="false">
      <c r="A9" s="1"/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1"/>
    </row>
    <row r="10" customFormat="false" ht="29" hidden="false" customHeight="true" outlineLevel="0" collapsed="false">
      <c r="A10" s="1"/>
      <c r="B10" s="6" t="s">
        <v>114</v>
      </c>
      <c r="C10" s="17" t="n">
        <v>1000</v>
      </c>
      <c r="D10" s="17" t="n">
        <v>800</v>
      </c>
      <c r="E10" s="17" t="n">
        <v>100</v>
      </c>
      <c r="F10" s="17" t="n">
        <v>40</v>
      </c>
      <c r="G10" s="17" t="n">
        <v>44</v>
      </c>
      <c r="H10" s="6" t="str">
        <f aca="false">IF(COUNT(C10:G10)&lt;5,"Missing number",IF(OR(C10&lt;=0,D10&lt;0,D10&gt;C10,E10&lt;=0,E10&gt;D10,F10&lt;0,F10&gt;E10,G10&lt;0,G10&gt;E10),"Check the numbers","Ready"))</f>
        <v>Ready</v>
      </c>
      <c r="I10" s="1"/>
    </row>
    <row r="11" customFormat="false" ht="29" hidden="false" customHeight="true" outlineLevel="0" collapsed="false">
      <c r="A11" s="1"/>
      <c r="B11" s="14" t="s">
        <v>115</v>
      </c>
      <c r="C11" s="18" t="n">
        <v>1000</v>
      </c>
      <c r="D11" s="18" t="n">
        <v>400</v>
      </c>
      <c r="E11" s="18" t="n">
        <v>100</v>
      </c>
      <c r="F11" s="18" t="n">
        <v>40</v>
      </c>
      <c r="G11" s="18" t="n">
        <v>55</v>
      </c>
      <c r="H11" s="6" t="str">
        <f aca="false">IF(COUNT(C11:G11)&lt;5,"Missing number",IF(OR(C11&lt;=0,D11&lt;0,D11&gt;C11,E11&lt;=0,E11&gt;D11,F11&lt;0,F11&gt;E11,G11&lt;0,G11&gt;E11),"Check the numbers","Ready"))</f>
        <v>Ready</v>
      </c>
      <c r="I11" s="1"/>
    </row>
    <row r="12" customFormat="false" ht="2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26" hidden="false" customHeight="true" outlineLevel="0" collapsed="false">
      <c r="A13" s="1"/>
      <c r="B13" s="1" t="s">
        <v>116</v>
      </c>
      <c r="C13" s="1"/>
      <c r="D13" s="1"/>
      <c r="E13" s="1"/>
      <c r="F13" s="1"/>
      <c r="G13" s="1"/>
      <c r="H13" s="1"/>
      <c r="I13" s="1"/>
    </row>
    <row r="14" customFormat="false" ht="2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42" hidden="false" customHeight="true" outlineLevel="0" collapsed="false">
      <c r="A15" s="1"/>
      <c r="B15" s="4" t="s">
        <v>107</v>
      </c>
      <c r="C15" s="4" t="s">
        <v>117</v>
      </c>
      <c r="D15" s="4" t="s">
        <v>118</v>
      </c>
      <c r="E15" s="4" t="s">
        <v>119</v>
      </c>
      <c r="F15" s="4" t="s">
        <v>120</v>
      </c>
      <c r="G15" s="4" t="s">
        <v>121</v>
      </c>
      <c r="H15" s="4" t="s">
        <v>122</v>
      </c>
      <c r="I15" s="1"/>
    </row>
    <row r="16" customFormat="false" ht="52" hidden="false" customHeight="true" outlineLevel="0" collapsed="false">
      <c r="A16" s="1"/>
      <c r="B16" s="6" t="str">
        <f aca="false">B10</f>
        <v>Campaign A</v>
      </c>
      <c r="C16" s="19" t="n">
        <f aca="false">IF(H10="Ready",D10/C10,"")</f>
        <v>0.8</v>
      </c>
      <c r="D16" s="19" t="n">
        <f aca="false">IF(H10="Ready",F10/E10,"")</f>
        <v>0.4</v>
      </c>
      <c r="E16" s="19" t="n">
        <f aca="false">IF(H10="Ready",G10/E10,"")</f>
        <v>0.44</v>
      </c>
      <c r="F16" s="20" t="n">
        <f aca="false">IF(H10="Ready",(E16-D16)*100,"")</f>
        <v>4</v>
      </c>
      <c r="G16" s="6" t="s">
        <v>123</v>
      </c>
      <c r="H16" s="6" t="str">
        <f aca="false">IF(H10&lt;&gt;"Ready",H10,"Change in support: "&amp;TEXT(F16,"0.0")&amp;" percentage points. The cause is still unknown.")</f>
        <v>Change in support: 4.0 percentage points. The cause is still unknown.</v>
      </c>
      <c r="I16" s="1"/>
    </row>
    <row r="17" customFormat="false" ht="52" hidden="false" customHeight="true" outlineLevel="0" collapsed="false">
      <c r="A17" s="1"/>
      <c r="B17" s="14" t="str">
        <f aca="false">B11</f>
        <v>Campaign B</v>
      </c>
      <c r="C17" s="21" t="n">
        <f aca="false">IF(H11="Ready",D11/C11,"")</f>
        <v>0.4</v>
      </c>
      <c r="D17" s="21" t="n">
        <f aca="false">IF(H11="Ready",F11/E11,"")</f>
        <v>0.4</v>
      </c>
      <c r="E17" s="21" t="n">
        <f aca="false">IF(H11="Ready",G11/E11,"")</f>
        <v>0.55</v>
      </c>
      <c r="F17" s="22" t="n">
        <f aca="false">IF(H11="Ready",(E17-D17)*100,"")</f>
        <v>15</v>
      </c>
      <c r="G17" s="14" t="s">
        <v>124</v>
      </c>
      <c r="H17" s="14" t="str">
        <f aca="false">IF(H11&lt;&gt;"Ready",H11,"Change in support: "&amp;TEXT(F17,"0.0")&amp;" percentage points. The cause is still unknown.")</f>
        <v>Change in support: 15.0 percentage points. The cause is still unknown.</v>
      </c>
      <c r="I17" s="1"/>
    </row>
    <row r="18" customFormat="false" ht="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26" hidden="false" customHeight="true" outlineLevel="0" collapsed="false">
      <c r="A19" s="1"/>
      <c r="B19" s="1" t="s">
        <v>125</v>
      </c>
      <c r="C19" s="1"/>
      <c r="D19" s="1"/>
      <c r="E19" s="1"/>
      <c r="F19" s="1"/>
      <c r="G19" s="1"/>
      <c r="H19" s="1"/>
      <c r="I19" s="1"/>
    </row>
    <row r="20" customFormat="false" ht="26" hidden="false" customHeight="true" outlineLevel="0" collapsed="false">
      <c r="A20" s="1"/>
      <c r="B20" s="1" t="s">
        <v>126</v>
      </c>
      <c r="C20" s="1"/>
      <c r="D20" s="1"/>
      <c r="E20" s="1"/>
      <c r="F20" s="1"/>
      <c r="G20" s="1"/>
      <c r="H20" s="1"/>
      <c r="I20" s="1"/>
    </row>
    <row r="21" customFormat="false" ht="2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26" hidden="false" customHeight="true" outlineLevel="0" collapsed="false">
      <c r="A36" s="1"/>
      <c r="B36" s="1" t="s">
        <v>127</v>
      </c>
      <c r="C36" s="1"/>
      <c r="D36" s="1"/>
      <c r="E36" s="1"/>
      <c r="F36" s="1"/>
      <c r="G36" s="1"/>
      <c r="H36" s="1"/>
      <c r="I36" s="1"/>
    </row>
    <row r="37" customFormat="false" ht="26" hidden="false" customHeight="true" outlineLevel="0" collapsed="false">
      <c r="A37" s="1"/>
      <c r="B37" s="1" t="s">
        <v>128</v>
      </c>
      <c r="C37" s="1"/>
      <c r="D37" s="1"/>
      <c r="E37" s="1"/>
      <c r="F37" s="1"/>
      <c r="G37" s="1"/>
      <c r="H37" s="1"/>
      <c r="I37" s="1"/>
    </row>
    <row r="38" customFormat="false" ht="26" hidden="false" customHeight="true" outlineLevel="0" collapsed="false">
      <c r="A38" s="1"/>
      <c r="B38" s="1" t="s">
        <v>129</v>
      </c>
      <c r="C38" s="1"/>
      <c r="D38" s="1"/>
      <c r="E38" s="1"/>
      <c r="F38" s="1"/>
      <c r="G38" s="1"/>
      <c r="H38" s="1"/>
      <c r="I38" s="1"/>
    </row>
    <row r="39" customFormat="false" ht="26" hidden="false" customHeight="true" outlineLevel="0" collapsed="false">
      <c r="A39" s="1"/>
      <c r="B39" s="1" t="s">
        <v>130</v>
      </c>
      <c r="C39" s="1"/>
      <c r="D39" s="1"/>
      <c r="E39" s="1"/>
      <c r="F39" s="1"/>
      <c r="G39" s="1"/>
      <c r="H39" s="1"/>
      <c r="I39" s="1"/>
    </row>
    <row r="40" customFormat="false" ht="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42" hidden="false" customHeight="true" outlineLevel="0" collapsed="false">
      <c r="A41" s="1"/>
      <c r="B41" s="4" t="s">
        <v>131</v>
      </c>
      <c r="C41" s="4" t="s">
        <v>132</v>
      </c>
      <c r="D41" s="4" t="s">
        <v>133</v>
      </c>
      <c r="E41" s="4" t="s">
        <v>134</v>
      </c>
      <c r="F41" s="4" t="s">
        <v>135</v>
      </c>
      <c r="G41" s="4" t="s">
        <v>136</v>
      </c>
      <c r="H41" s="4" t="s">
        <v>137</v>
      </c>
      <c r="I41" s="1"/>
    </row>
    <row r="42" customFormat="false" ht="88" hidden="false" customHeight="true" outlineLevel="0" collapsed="false">
      <c r="A42" s="1"/>
      <c r="B42" s="23" t="s">
        <v>138</v>
      </c>
      <c r="C42" s="24"/>
      <c r="D42" s="24"/>
      <c r="E42" s="24"/>
      <c r="F42" s="24"/>
      <c r="G42" s="24"/>
      <c r="H42" s="24"/>
      <c r="I42" s="1"/>
    </row>
    <row r="43" customFormat="false" ht="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26" hidden="false" customHeight="true" outlineLevel="0" collapsed="false">
      <c r="A45" s="1"/>
      <c r="B45" s="1" t="s">
        <v>139</v>
      </c>
      <c r="C45" s="1"/>
      <c r="D45" s="1"/>
      <c r="E45" s="1"/>
      <c r="F45" s="1"/>
      <c r="G45" s="1"/>
      <c r="H45" s="1"/>
      <c r="I45" s="1"/>
    </row>
    <row r="46" customFormat="false" ht="26" hidden="false" customHeight="true" outlineLevel="0" collapsed="false">
      <c r="A46" s="1"/>
      <c r="B46" s="1" t="s">
        <v>140</v>
      </c>
      <c r="C46" s="1"/>
      <c r="D46" s="1"/>
      <c r="E46" s="1"/>
      <c r="F46" s="1"/>
      <c r="G46" s="1"/>
      <c r="H46" s="1"/>
      <c r="I46" s="1"/>
    </row>
    <row r="47" customFormat="false" ht="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26" hidden="false" customHeight="true" outlineLevel="0" collapsed="false">
      <c r="A48" s="1"/>
      <c r="B48" s="1" t="s">
        <v>141</v>
      </c>
      <c r="C48" s="1"/>
      <c r="D48" s="1"/>
      <c r="E48" s="1"/>
      <c r="F48" s="1"/>
      <c r="G48" s="1"/>
      <c r="H48" s="1"/>
      <c r="I48" s="1"/>
    </row>
    <row r="49" customFormat="false" ht="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25" hidden="false" customHeight="true" outlineLevel="0" collapsed="false">
      <c r="A50" s="1"/>
      <c r="B50" s="25" t="str">
        <f aca="false">HYPERLINK("https://mayhewforever.github.io/kamudiplomasisi/notes/Week_01_Lecture_Notes_EN.html","Week 1 notes")</f>
        <v>Week 1 notes</v>
      </c>
      <c r="C50" s="1"/>
      <c r="D50" s="25" t="str">
        <f aca="false">HYPERLINK("https://mayhewforever.github.io/kamudiplomasisi/notes/Week_14_Lecture_Notes_EN.html","Week 14 notes")</f>
        <v>Week 14 notes</v>
      </c>
      <c r="E50" s="1"/>
      <c r="F50" s="1"/>
      <c r="G50" s="1"/>
      <c r="H50" s="1"/>
      <c r="I50" s="1"/>
    </row>
    <row r="51" customFormat="false" ht="2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2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</row>
  </sheetData>
  <conditionalFormatting sqref="H10:H11">
    <cfRule type="containsText" priority="2" operator="containsText" aboveAverage="0" equalAverage="0" bottom="0" percent="0" rank="0" text="number" dxfId="0">
      <formula>NOT(ISERROR(SEARCH("number",H10)))</formula>
    </cfRule>
  </conditionalFormatting>
  <dataValidations count="1">
    <dataValidation allowBlank="false" errorStyle="stop" operator="between" showDropDown="false" showErrorMessage="false" showInputMessage="false" sqref="C10:G11" type="whole">
      <formula1>0</formula1>
      <formula2>1000000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1C35"/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21.11"/>
    <col collapsed="false" customWidth="true" hidden="false" outlineLevel="0" max="3" min="3" style="0" width="39.44"/>
    <col collapsed="false" customWidth="true" hidden="false" outlineLevel="0" max="4" min="4" style="0" width="36.11"/>
    <col collapsed="false" customWidth="true" hidden="false" outlineLevel="0" max="5" min="5" style="0" width="32.22"/>
    <col collapsed="false" customWidth="true" hidden="false" outlineLevel="0" max="6" min="6" style="0" width="2.67"/>
  </cols>
  <sheetData>
    <row r="1" customFormat="false" ht="25" hidden="false" customHeight="true" outlineLevel="0" collapsed="false">
      <c r="A1" s="1"/>
      <c r="B1" s="1"/>
      <c r="C1" s="1"/>
      <c r="D1" s="1"/>
      <c r="E1" s="1"/>
      <c r="F1" s="1"/>
      <c r="G1" s="1"/>
    </row>
    <row r="2" customFormat="false" ht="31" hidden="false" customHeight="true" outlineLevel="0" collapsed="false">
      <c r="A2" s="1"/>
      <c r="B2" s="2" t="s">
        <v>142</v>
      </c>
      <c r="C2" s="1"/>
      <c r="D2" s="1"/>
      <c r="E2" s="1"/>
      <c r="F2" s="1"/>
      <c r="G2" s="1"/>
    </row>
    <row r="3" customFormat="false" ht="25" hidden="false" customHeight="true" outlineLevel="0" collapsed="false">
      <c r="A3" s="1"/>
      <c r="B3" s="3"/>
      <c r="C3" s="3"/>
      <c r="D3" s="3"/>
      <c r="E3" s="3"/>
      <c r="F3" s="1"/>
      <c r="G3" s="1"/>
    </row>
    <row r="4" customFormat="false" ht="26" hidden="false" customHeight="true" outlineLevel="0" collapsed="false">
      <c r="A4" s="1"/>
      <c r="B4" s="1" t="s">
        <v>143</v>
      </c>
      <c r="C4" s="1"/>
      <c r="D4" s="1"/>
      <c r="E4" s="1"/>
      <c r="F4" s="1"/>
      <c r="G4" s="1"/>
    </row>
    <row r="5" customFormat="false" ht="25" hidden="false" customHeight="true" outlineLevel="0" collapsed="false">
      <c r="A5" s="1"/>
      <c r="B5" s="1"/>
      <c r="C5" s="1"/>
      <c r="D5" s="1"/>
      <c r="E5" s="1"/>
      <c r="F5" s="1"/>
      <c r="G5" s="1"/>
    </row>
    <row r="6" customFormat="false" ht="42" hidden="false" customHeight="true" outlineLevel="0" collapsed="false">
      <c r="A6" s="1"/>
      <c r="B6" s="4" t="s">
        <v>144</v>
      </c>
      <c r="C6" s="4" t="s">
        <v>145</v>
      </c>
      <c r="D6" s="4" t="s">
        <v>146</v>
      </c>
      <c r="E6" s="4" t="s">
        <v>147</v>
      </c>
      <c r="F6" s="1"/>
      <c r="G6" s="1"/>
    </row>
    <row r="7" customFormat="false" ht="48" hidden="false" customHeight="true" outlineLevel="0" collapsed="false">
      <c r="A7" s="1"/>
      <c r="B7" s="6" t="s">
        <v>148</v>
      </c>
      <c r="C7" s="6" t="s">
        <v>149</v>
      </c>
      <c r="D7" s="6" t="s">
        <v>150</v>
      </c>
      <c r="E7" s="6" t="s">
        <v>151</v>
      </c>
      <c r="F7" s="1"/>
      <c r="G7" s="1"/>
    </row>
    <row r="8" customFormat="false" ht="48" hidden="false" customHeight="true" outlineLevel="0" collapsed="false">
      <c r="A8" s="1"/>
      <c r="B8" s="10" t="s">
        <v>152</v>
      </c>
      <c r="C8" s="10" t="s">
        <v>153</v>
      </c>
      <c r="D8" s="10" t="s">
        <v>154</v>
      </c>
      <c r="E8" s="10" t="s">
        <v>155</v>
      </c>
      <c r="F8" s="1"/>
      <c r="G8" s="1"/>
    </row>
    <row r="9" customFormat="false" ht="48" hidden="false" customHeight="true" outlineLevel="0" collapsed="false">
      <c r="A9" s="1"/>
      <c r="B9" s="10" t="s">
        <v>156</v>
      </c>
      <c r="C9" s="10" t="s">
        <v>157</v>
      </c>
      <c r="D9" s="10" t="s">
        <v>158</v>
      </c>
      <c r="E9" s="10" t="s">
        <v>159</v>
      </c>
      <c r="F9" s="1"/>
      <c r="G9" s="1"/>
    </row>
    <row r="10" customFormat="false" ht="48" hidden="false" customHeight="true" outlineLevel="0" collapsed="false">
      <c r="A10" s="1"/>
      <c r="B10" s="10" t="s">
        <v>160</v>
      </c>
      <c r="C10" s="10" t="s">
        <v>161</v>
      </c>
      <c r="D10" s="10" t="s">
        <v>162</v>
      </c>
      <c r="E10" s="10" t="s">
        <v>163</v>
      </c>
      <c r="F10" s="1"/>
      <c r="G10" s="1"/>
    </row>
    <row r="11" customFormat="false" ht="48" hidden="false" customHeight="true" outlineLevel="0" collapsed="false">
      <c r="A11" s="1"/>
      <c r="B11" s="10" t="s">
        <v>164</v>
      </c>
      <c r="C11" s="10" t="s">
        <v>165</v>
      </c>
      <c r="D11" s="10" t="s">
        <v>166</v>
      </c>
      <c r="E11" s="10" t="s">
        <v>167</v>
      </c>
      <c r="F11" s="1"/>
      <c r="G11" s="1"/>
    </row>
    <row r="12" customFormat="false" ht="48" hidden="false" customHeight="true" outlineLevel="0" collapsed="false">
      <c r="A12" s="1"/>
      <c r="B12" s="10" t="s">
        <v>168</v>
      </c>
      <c r="C12" s="10" t="s">
        <v>169</v>
      </c>
      <c r="D12" s="10" t="s">
        <v>170</v>
      </c>
      <c r="E12" s="10" t="s">
        <v>171</v>
      </c>
      <c r="F12" s="1"/>
      <c r="G12" s="1"/>
    </row>
    <row r="13" customFormat="false" ht="48" hidden="false" customHeight="true" outlineLevel="0" collapsed="false">
      <c r="A13" s="1"/>
      <c r="B13" s="10" t="s">
        <v>172</v>
      </c>
      <c r="C13" s="10" t="s">
        <v>173</v>
      </c>
      <c r="D13" s="10" t="s">
        <v>174</v>
      </c>
      <c r="E13" s="10" t="s">
        <v>175</v>
      </c>
      <c r="F13" s="1"/>
      <c r="G13" s="1"/>
    </row>
    <row r="14" customFormat="false" ht="48" hidden="false" customHeight="true" outlineLevel="0" collapsed="false">
      <c r="A14" s="1"/>
      <c r="B14" s="10" t="s">
        <v>176</v>
      </c>
      <c r="C14" s="10" t="s">
        <v>177</v>
      </c>
      <c r="D14" s="10" t="s">
        <v>178</v>
      </c>
      <c r="E14" s="10" t="s">
        <v>179</v>
      </c>
      <c r="F14" s="1"/>
      <c r="G14" s="1"/>
    </row>
    <row r="15" customFormat="false" ht="48" hidden="false" customHeight="true" outlineLevel="0" collapsed="false">
      <c r="A15" s="1"/>
      <c r="B15" s="10" t="s">
        <v>180</v>
      </c>
      <c r="C15" s="10" t="s">
        <v>181</v>
      </c>
      <c r="D15" s="10" t="s">
        <v>182</v>
      </c>
      <c r="E15" s="10" t="s">
        <v>183</v>
      </c>
      <c r="F15" s="1"/>
      <c r="G15" s="1"/>
    </row>
    <row r="16" customFormat="false" ht="48" hidden="false" customHeight="true" outlineLevel="0" collapsed="false">
      <c r="A16" s="1"/>
      <c r="B16" s="10" t="s">
        <v>184</v>
      </c>
      <c r="C16" s="10" t="s">
        <v>185</v>
      </c>
      <c r="D16" s="10" t="s">
        <v>186</v>
      </c>
      <c r="E16" s="10" t="s">
        <v>187</v>
      </c>
      <c r="F16" s="1"/>
      <c r="G16" s="1"/>
    </row>
    <row r="17" customFormat="false" ht="48" hidden="false" customHeight="true" outlineLevel="0" collapsed="false">
      <c r="A17" s="1"/>
      <c r="B17" s="10" t="s">
        <v>188</v>
      </c>
      <c r="C17" s="10" t="s">
        <v>189</v>
      </c>
      <c r="D17" s="10" t="s">
        <v>190</v>
      </c>
      <c r="E17" s="10" t="s">
        <v>191</v>
      </c>
      <c r="F17" s="1"/>
      <c r="G17" s="1"/>
    </row>
    <row r="18" customFormat="false" ht="48" hidden="false" customHeight="true" outlineLevel="0" collapsed="false">
      <c r="A18" s="1"/>
      <c r="B18" s="10" t="s">
        <v>192</v>
      </c>
      <c r="C18" s="10" t="s">
        <v>193</v>
      </c>
      <c r="D18" s="10" t="s">
        <v>194</v>
      </c>
      <c r="E18" s="10" t="s">
        <v>195</v>
      </c>
      <c r="F18" s="1"/>
      <c r="G18" s="1"/>
    </row>
    <row r="19" customFormat="false" ht="48" hidden="false" customHeight="true" outlineLevel="0" collapsed="false">
      <c r="A19" s="1"/>
      <c r="B19" s="10" t="s">
        <v>196</v>
      </c>
      <c r="C19" s="10" t="s">
        <v>197</v>
      </c>
      <c r="D19" s="10" t="s">
        <v>198</v>
      </c>
      <c r="E19" s="10" t="s">
        <v>199</v>
      </c>
      <c r="F19" s="1"/>
      <c r="G19" s="1"/>
    </row>
    <row r="20" customFormat="false" ht="48" hidden="false" customHeight="true" outlineLevel="0" collapsed="false">
      <c r="A20" s="1"/>
      <c r="B20" s="10" t="s">
        <v>200</v>
      </c>
      <c r="C20" s="10" t="s">
        <v>201</v>
      </c>
      <c r="D20" s="10" t="s">
        <v>202</v>
      </c>
      <c r="E20" s="10" t="s">
        <v>203</v>
      </c>
      <c r="F20" s="1"/>
      <c r="G20" s="1"/>
    </row>
    <row r="21" customFormat="false" ht="48" hidden="false" customHeight="true" outlineLevel="0" collapsed="false">
      <c r="A21" s="1"/>
      <c r="B21" s="10" t="s">
        <v>93</v>
      </c>
      <c r="C21" s="10" t="s">
        <v>204</v>
      </c>
      <c r="D21" s="10" t="s">
        <v>205</v>
      </c>
      <c r="E21" s="10" t="s">
        <v>206</v>
      </c>
      <c r="F21" s="1"/>
      <c r="G21" s="1"/>
    </row>
    <row r="22" customFormat="false" ht="48" hidden="false" customHeight="true" outlineLevel="0" collapsed="false">
      <c r="A22" s="1"/>
      <c r="B22" s="10" t="s">
        <v>207</v>
      </c>
      <c r="C22" s="10" t="s">
        <v>208</v>
      </c>
      <c r="D22" s="10" t="s">
        <v>209</v>
      </c>
      <c r="E22" s="10" t="s">
        <v>210</v>
      </c>
      <c r="F22" s="1"/>
      <c r="G22" s="1"/>
    </row>
    <row r="23" customFormat="false" ht="48" hidden="false" customHeight="true" outlineLevel="0" collapsed="false">
      <c r="A23" s="1"/>
      <c r="B23" s="10" t="s">
        <v>211</v>
      </c>
      <c r="C23" s="10" t="s">
        <v>212</v>
      </c>
      <c r="D23" s="10" t="s">
        <v>213</v>
      </c>
      <c r="E23" s="10" t="s">
        <v>214</v>
      </c>
      <c r="F23" s="1"/>
      <c r="G23" s="1"/>
    </row>
    <row r="24" customFormat="false" ht="48" hidden="false" customHeight="true" outlineLevel="0" collapsed="false">
      <c r="A24" s="1"/>
      <c r="B24" s="14" t="s">
        <v>215</v>
      </c>
      <c r="C24" s="14" t="s">
        <v>216</v>
      </c>
      <c r="D24" s="14" t="s">
        <v>217</v>
      </c>
      <c r="E24" s="14" t="s">
        <v>218</v>
      </c>
      <c r="F24" s="1"/>
      <c r="G24" s="1"/>
    </row>
    <row r="25" customFormat="false" ht="25" hidden="false" customHeight="true" outlineLevel="0" collapsed="false">
      <c r="A25" s="1"/>
      <c r="B25" s="1"/>
      <c r="C25" s="1"/>
      <c r="D25" s="1"/>
      <c r="E25" s="1"/>
      <c r="F25" s="1"/>
      <c r="G25" s="1"/>
    </row>
    <row r="26" customFormat="false" ht="25" hidden="false" customHeight="true" outlineLevel="0" collapsed="false">
      <c r="A26" s="1"/>
      <c r="B26" s="1"/>
      <c r="C26" s="1"/>
      <c r="D26" s="1"/>
      <c r="E26" s="1"/>
      <c r="F26" s="1"/>
      <c r="G26" s="1"/>
    </row>
    <row r="27" customFormat="false" ht="26" hidden="false" customHeight="true" outlineLevel="0" collapsed="false">
      <c r="A27" s="1"/>
      <c r="B27" s="1" t="s">
        <v>219</v>
      </c>
      <c r="C27" s="1"/>
      <c r="D27" s="1"/>
      <c r="E27" s="1"/>
      <c r="F27" s="1"/>
      <c r="G27" s="1"/>
    </row>
    <row r="28" customFormat="false" ht="25" hidden="false" customHeight="true" outlineLevel="0" collapsed="false">
      <c r="A28" s="1"/>
      <c r="B28" s="1"/>
      <c r="C28" s="1"/>
      <c r="D28" s="1"/>
      <c r="E28" s="1"/>
      <c r="F28" s="1"/>
      <c r="G28" s="1"/>
    </row>
    <row r="29" customFormat="false" ht="25" hidden="false" customHeight="true" outlineLevel="0" collapsed="false">
      <c r="A29" s="1"/>
      <c r="B29" s="25" t="str">
        <f aca="false">HYPERLINK("https://mayhewforever.github.io/kamudiplomasisi/notes/Week_01_Lecture_Notes_EN.html","Week 1: concepts")</f>
        <v>Week 1: concepts</v>
      </c>
      <c r="C29" s="1"/>
      <c r="D29" s="25" t="str">
        <f aca="false">HYPERLINK("https://mayhewforever.github.io/kamudiplomasisi/notes/Week_14_Lecture_Notes_EN.html","Week 14: measurement")</f>
        <v>Week 14: measurement</v>
      </c>
      <c r="E29" s="1"/>
      <c r="F29" s="1"/>
      <c r="G29" s="1"/>
    </row>
    <row r="30" customFormat="false" ht="25" hidden="false" customHeight="true" outlineLevel="0" collapsed="false">
      <c r="A30" s="1"/>
      <c r="B30" s="1"/>
      <c r="C30" s="1"/>
      <c r="D30" s="1"/>
      <c r="E30" s="1"/>
      <c r="F30" s="1"/>
      <c r="G30" s="1"/>
    </row>
    <row r="31" customFormat="false" ht="25" hidden="false" customHeight="true" outlineLevel="0" collapsed="false">
      <c r="A31" s="1"/>
      <c r="B31" s="1"/>
      <c r="C31" s="1"/>
      <c r="D31" s="1"/>
      <c r="E31" s="1"/>
      <c r="F31" s="1"/>
      <c r="G3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1C35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67"/>
    <col collapsed="false" customWidth="true" hidden="false" outlineLevel="0" max="2" min="2" style="0" width="30"/>
    <col collapsed="false" customWidth="true" hidden="false" outlineLevel="0" max="4" min="3" style="0" width="59.44"/>
    <col collapsed="false" customWidth="true" hidden="false" outlineLevel="0" max="5" min="5" style="0" width="2.67"/>
  </cols>
  <sheetData>
    <row r="1" customFormat="false" ht="25" hidden="false" customHeight="true" outlineLevel="0" collapsed="false">
      <c r="A1" s="1"/>
      <c r="B1" s="1"/>
      <c r="C1" s="1"/>
      <c r="D1" s="1"/>
      <c r="E1" s="1"/>
    </row>
    <row r="2" customFormat="false" ht="31" hidden="false" customHeight="true" outlineLevel="0" collapsed="false">
      <c r="A2" s="1"/>
      <c r="B2" s="2" t="s">
        <v>220</v>
      </c>
      <c r="C2" s="1"/>
      <c r="D2" s="1"/>
      <c r="E2" s="1"/>
    </row>
    <row r="3" customFormat="false" ht="25" hidden="false" customHeight="true" outlineLevel="0" collapsed="false">
      <c r="A3" s="1"/>
      <c r="B3" s="3"/>
      <c r="C3" s="3"/>
      <c r="D3" s="3"/>
      <c r="E3" s="1"/>
    </row>
    <row r="4" customFormat="false" ht="26" hidden="false" customHeight="true" outlineLevel="0" collapsed="false">
      <c r="A4" s="1"/>
      <c r="B4" s="1" t="s">
        <v>221</v>
      </c>
      <c r="C4" s="1"/>
      <c r="D4" s="1"/>
      <c r="E4" s="1"/>
    </row>
    <row r="5" customFormat="false" ht="26" hidden="false" customHeight="true" outlineLevel="0" collapsed="false">
      <c r="A5" s="1"/>
      <c r="B5" s="1" t="s">
        <v>222</v>
      </c>
      <c r="C5" s="1"/>
      <c r="D5" s="1"/>
      <c r="E5" s="1"/>
    </row>
    <row r="6" customFormat="false" ht="26" hidden="false" customHeight="true" outlineLevel="0" collapsed="false">
      <c r="A6" s="1"/>
      <c r="B6" s="1" t="s">
        <v>223</v>
      </c>
      <c r="C6" s="1"/>
      <c r="D6" s="1"/>
      <c r="E6" s="1"/>
    </row>
    <row r="7" customFormat="false" ht="26" hidden="false" customHeight="true" outlineLevel="0" collapsed="false">
      <c r="A7" s="1"/>
      <c r="B7" s="1" t="s">
        <v>224</v>
      </c>
      <c r="C7" s="1"/>
      <c r="D7" s="1"/>
      <c r="E7" s="1"/>
    </row>
    <row r="8" customFormat="false" ht="25" hidden="false" customHeight="true" outlineLevel="0" collapsed="false">
      <c r="A8" s="1"/>
      <c r="B8" s="1"/>
      <c r="C8" s="1"/>
      <c r="D8" s="1"/>
      <c r="E8" s="1"/>
    </row>
    <row r="9" customFormat="false" ht="42" hidden="false" customHeight="true" outlineLevel="0" collapsed="false">
      <c r="A9" s="1"/>
      <c r="B9" s="4" t="s">
        <v>225</v>
      </c>
      <c r="C9" s="4" t="s">
        <v>226</v>
      </c>
      <c r="D9" s="4" t="s">
        <v>227</v>
      </c>
      <c r="E9" s="1"/>
    </row>
    <row r="10" customFormat="false" ht="84" hidden="false" customHeight="true" outlineLevel="0" collapsed="false">
      <c r="A10" s="1"/>
      <c r="B10" s="6" t="s">
        <v>228</v>
      </c>
      <c r="C10" s="6" t="s">
        <v>229</v>
      </c>
      <c r="D10" s="8"/>
      <c r="E10" s="1"/>
    </row>
    <row r="11" customFormat="false" ht="84" hidden="false" customHeight="true" outlineLevel="0" collapsed="false">
      <c r="A11" s="1"/>
      <c r="B11" s="10" t="s">
        <v>230</v>
      </c>
      <c r="C11" s="10" t="s">
        <v>231</v>
      </c>
      <c r="D11" s="12"/>
      <c r="E11" s="1"/>
    </row>
    <row r="12" customFormat="false" ht="84" hidden="false" customHeight="true" outlineLevel="0" collapsed="false">
      <c r="A12" s="1"/>
      <c r="B12" s="10" t="s">
        <v>232</v>
      </c>
      <c r="C12" s="10" t="s">
        <v>233</v>
      </c>
      <c r="D12" s="12"/>
      <c r="E12" s="1"/>
    </row>
    <row r="13" customFormat="false" ht="84" hidden="false" customHeight="true" outlineLevel="0" collapsed="false">
      <c r="A13" s="1"/>
      <c r="B13" s="10" t="s">
        <v>234</v>
      </c>
      <c r="C13" s="10" t="s">
        <v>235</v>
      </c>
      <c r="D13" s="12"/>
      <c r="E13" s="1"/>
    </row>
    <row r="14" customFormat="false" ht="84" hidden="false" customHeight="true" outlineLevel="0" collapsed="false">
      <c r="A14" s="1"/>
      <c r="B14" s="10" t="s">
        <v>236</v>
      </c>
      <c r="C14" s="10" t="s">
        <v>237</v>
      </c>
      <c r="D14" s="12"/>
      <c r="E14" s="1"/>
    </row>
    <row r="15" customFormat="false" ht="84" hidden="false" customHeight="true" outlineLevel="0" collapsed="false">
      <c r="A15" s="1"/>
      <c r="B15" s="10" t="s">
        <v>238</v>
      </c>
      <c r="C15" s="10" t="s">
        <v>239</v>
      </c>
      <c r="D15" s="12"/>
      <c r="E15" s="1"/>
    </row>
    <row r="16" customFormat="false" ht="84" hidden="false" customHeight="true" outlineLevel="0" collapsed="false">
      <c r="A16" s="1"/>
      <c r="B16" s="14" t="s">
        <v>240</v>
      </c>
      <c r="C16" s="14" t="s">
        <v>241</v>
      </c>
      <c r="D16" s="16"/>
      <c r="E16" s="1"/>
    </row>
    <row r="17" customFormat="false" ht="25" hidden="false" customHeight="true" outlineLevel="0" collapsed="false">
      <c r="A17" s="1"/>
      <c r="B17" s="1"/>
      <c r="C17" s="1"/>
      <c r="D17" s="1"/>
      <c r="E17" s="1"/>
    </row>
    <row r="18" customFormat="false" ht="26" hidden="false" customHeight="true" outlineLevel="0" collapsed="false">
      <c r="A18" s="1"/>
      <c r="B18" s="1" t="s">
        <v>242</v>
      </c>
      <c r="C18" s="1"/>
      <c r="D18" s="1"/>
      <c r="E18" s="1"/>
    </row>
    <row r="19" customFormat="false" ht="25" hidden="false" customHeight="true" outlineLevel="0" collapsed="false">
      <c r="A19" s="1"/>
      <c r="B19" s="1"/>
      <c r="C19" s="1"/>
      <c r="D19" s="1"/>
      <c r="E19" s="1"/>
    </row>
    <row r="20" customFormat="false" ht="42" hidden="false" customHeight="true" outlineLevel="0" collapsed="false">
      <c r="A20" s="1"/>
      <c r="B20" s="4" t="s">
        <v>243</v>
      </c>
      <c r="C20" s="4" t="s">
        <v>244</v>
      </c>
      <c r="D20" s="4" t="s">
        <v>245</v>
      </c>
      <c r="E20" s="1"/>
    </row>
    <row r="21" customFormat="false" ht="76" hidden="false" customHeight="true" outlineLevel="0" collapsed="false">
      <c r="A21" s="1"/>
      <c r="B21" s="6" t="s">
        <v>246</v>
      </c>
      <c r="C21" s="6" t="s">
        <v>247</v>
      </c>
      <c r="D21" s="8"/>
      <c r="E21" s="1"/>
    </row>
    <row r="22" customFormat="false" ht="76" hidden="false" customHeight="true" outlineLevel="0" collapsed="false">
      <c r="A22" s="1"/>
      <c r="B22" s="10" t="s">
        <v>248</v>
      </c>
      <c r="C22" s="10" t="s">
        <v>249</v>
      </c>
      <c r="D22" s="12"/>
      <c r="E22" s="1"/>
    </row>
    <row r="23" customFormat="false" ht="76" hidden="false" customHeight="true" outlineLevel="0" collapsed="false">
      <c r="A23" s="1"/>
      <c r="B23" s="10" t="s">
        <v>250</v>
      </c>
      <c r="C23" s="10" t="s">
        <v>251</v>
      </c>
      <c r="D23" s="12"/>
      <c r="E23" s="1"/>
    </row>
    <row r="24" customFormat="false" ht="76" hidden="false" customHeight="true" outlineLevel="0" collapsed="false">
      <c r="A24" s="1"/>
      <c r="B24" s="10" t="s">
        <v>252</v>
      </c>
      <c r="C24" s="10" t="s">
        <v>253</v>
      </c>
      <c r="D24" s="12"/>
      <c r="E24" s="1"/>
    </row>
    <row r="25" customFormat="false" ht="76" hidden="false" customHeight="true" outlineLevel="0" collapsed="false">
      <c r="A25" s="1"/>
      <c r="B25" s="10" t="s">
        <v>254</v>
      </c>
      <c r="C25" s="10" t="s">
        <v>255</v>
      </c>
      <c r="D25" s="12"/>
      <c r="E25" s="1"/>
    </row>
    <row r="26" customFormat="false" ht="76" hidden="false" customHeight="true" outlineLevel="0" collapsed="false">
      <c r="A26" s="1"/>
      <c r="B26" s="10" t="s">
        <v>256</v>
      </c>
      <c r="C26" s="10" t="s">
        <v>257</v>
      </c>
      <c r="D26" s="12"/>
      <c r="E26" s="1"/>
    </row>
    <row r="27" customFormat="false" ht="76" hidden="false" customHeight="true" outlineLevel="0" collapsed="false">
      <c r="A27" s="1"/>
      <c r="B27" s="10" t="s">
        <v>258</v>
      </c>
      <c r="C27" s="10" t="s">
        <v>259</v>
      </c>
      <c r="D27" s="12"/>
      <c r="E27" s="1"/>
    </row>
    <row r="28" customFormat="false" ht="76" hidden="false" customHeight="true" outlineLevel="0" collapsed="false">
      <c r="A28" s="1"/>
      <c r="B28" s="10" t="s">
        <v>260</v>
      </c>
      <c r="C28" s="10" t="s">
        <v>261</v>
      </c>
      <c r="D28" s="12"/>
      <c r="E28" s="1"/>
    </row>
    <row r="29" customFormat="false" ht="76" hidden="false" customHeight="true" outlineLevel="0" collapsed="false">
      <c r="A29" s="1"/>
      <c r="B29" s="14" t="s">
        <v>262</v>
      </c>
      <c r="C29" s="14" t="s">
        <v>263</v>
      </c>
      <c r="D29" s="16"/>
      <c r="E29" s="1"/>
    </row>
    <row r="30" customFormat="false" ht="25" hidden="false" customHeight="true" outlineLevel="0" collapsed="false">
      <c r="A30" s="1"/>
      <c r="B30" s="1"/>
      <c r="C30" s="1"/>
      <c r="D30" s="1"/>
      <c r="E30" s="1"/>
    </row>
    <row r="31" customFormat="false" ht="26" hidden="false" customHeight="true" outlineLevel="0" collapsed="false">
      <c r="A31" s="1"/>
      <c r="B31" s="1" t="s">
        <v>264</v>
      </c>
      <c r="C31" s="1"/>
      <c r="D31" s="1"/>
      <c r="E31" s="1"/>
    </row>
    <row r="32" customFormat="false" ht="26" hidden="false" customHeight="true" outlineLevel="0" collapsed="false">
      <c r="A32" s="1"/>
      <c r="B32" s="1" t="s">
        <v>265</v>
      </c>
      <c r="C32" s="1"/>
      <c r="D32" s="1"/>
      <c r="E32" s="1"/>
    </row>
    <row r="33" customFormat="false" ht="25" hidden="false" customHeight="true" outlineLevel="0" collapsed="false">
      <c r="A33" s="1"/>
      <c r="B33" s="1"/>
      <c r="C33" s="1"/>
      <c r="D33" s="1"/>
      <c r="E33" s="1"/>
    </row>
    <row r="34" customFormat="false" ht="25" hidden="false" customHeight="true" outlineLevel="0" collapsed="false">
      <c r="A34" s="1"/>
      <c r="B34" s="25" t="str">
        <f aca="false">HYPERLINK("https://mayhewforever.github.io/kamudiplomasisi/notes/Week_06_Lecture_Notes_EN.html","Week 6: exchanges")</f>
        <v>Week 6: exchanges</v>
      </c>
      <c r="C34" s="25" t="str">
        <f aca="false">HYPERLINK("https://mayhewforever.github.io/kamudiplomasisi/notes/Week_14_Lecture_Notes_EN.html","Week 14: measurement")</f>
        <v>Week 14: measurement</v>
      </c>
      <c r="D34" s="1"/>
      <c r="E34" s="1"/>
    </row>
    <row r="35" customFormat="false" ht="25" hidden="false" customHeight="true" outlineLevel="0" collapsed="false">
      <c r="A35" s="1"/>
      <c r="B35" s="1"/>
      <c r="C35" s="1"/>
      <c r="D35" s="1"/>
      <c r="E35" s="1"/>
    </row>
    <row r="36" customFormat="false" ht="25" hidden="false" customHeight="true" outlineLevel="0" collapsed="false">
      <c r="A36" s="1"/>
      <c r="B36" s="1"/>
      <c r="C36" s="1"/>
      <c r="D36" s="1"/>
      <c r="E3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