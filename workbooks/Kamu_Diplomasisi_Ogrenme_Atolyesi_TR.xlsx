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Başla ve Haftalar" sheetId="1" state="visible" r:id="rId3"/>
    <sheet name="2 Kanıt Çalışması" sheetId="2" state="visible" r:id="rId4"/>
    <sheet name="3 Ölçüm Deneyi" sheetId="3" state="visible" r:id="rId5"/>
    <sheet name="4 Kavram Rehberi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<sst xmlns="http://schemas.openxmlformats.org/spreadsheetml/2006/main" count="236" uniqueCount="222">
  <si>
    <t xml:space="preserve">Kamu diplomasisi: ilk adımlar</t>
  </si>
  <si>
    <t xml:space="preserve">1. Bu hafta hangi konuyu işliyorsanız o satırı bulun. “Ders notunu aç” bağlantısına tıklayın.</t>
  </si>
  <si>
    <t xml:space="preserve">2. “Küçük görev” sütununu uygulayın. “Yazacağınız sonuç” kadar kısa bir cevap hazırlayın.</t>
  </si>
  <si>
    <t xml:space="preserve">3. Sarı durum hücresinden seçin. Sonra 2. sayfadaki örneği okuyup kendi kanıt satırınızı doldurun.</t>
  </si>
  <si>
    <t xml:space="preserve">Gündelik benzetme: Bir afişi görmek, afişte önerilen ürünü beğenmek veya satın almakla aynı şey değildir.</t>
  </si>
  <si>
    <t xml:space="preserve">Excel ipucu: Sarı hücreye tıklayın, yazın ve Enter’a basın. Diğer sayfalara alttaki sekmelerden geçin.</t>
  </si>
  <si>
    <t xml:space="preserve">Hafta</t>
  </si>
  <si>
    <t xml:space="preserve">Konu</t>
  </si>
  <si>
    <t xml:space="preserve">Küçük görev</t>
  </si>
  <si>
    <t xml:space="preserve">Yazacağınız sonuç</t>
  </si>
  <si>
    <t xml:space="preserve">Ders notu</t>
  </si>
  <si>
    <t xml:space="preserve">Durum (siz seçin)</t>
  </si>
  <si>
    <t xml:space="preserve">Güç türlerini ayırmak</t>
  </si>
  <si>
    <t xml:space="preserve">Bir burs örneği seçin. Para, çekicilik ve beklenen sonucu ayrı yazın.</t>
  </si>
  <si>
    <t xml:space="preserve">Üç cümle: kaynak ne, araç ne, sonuç için hangi kanıt eksik?</t>
  </si>
  <si>
    <t xml:space="preserve">Başlamadım</t>
  </si>
  <si>
    <t xml:space="preserve">Franklin ve Fransa</t>
  </si>
  <si>
    <t xml:space="preserve">Franklin’in bir bilim veya toplum ağı temasını seçin. Teması, ittifak kararından ayırın.</t>
  </si>
  <si>
    <t xml:space="preserve">İki neden: temasın katkısı ne olabilir, kararın başka nedeni ne olabilir?</t>
  </si>
  <si>
    <t xml:space="preserve">Birlik ve Avrupa</t>
  </si>
  <si>
    <t xml:space="preserve">Birlik yönetiminin bir anlatısını bulun. Avrupa’daki hangi kitleye seslendiğini yazın.</t>
  </si>
  <si>
    <t xml:space="preserve">Bir mesaj, bir kitle, mesajın nasıl karşılandığını gösterecek bir belge türü.</t>
  </si>
  <si>
    <t xml:space="preserve">Konfederasyon ve pamuk</t>
  </si>
  <si>
    <t xml:space="preserve">Pamuk kaynağının neden otomatik siyasi destek üretmediğini açıklayın.</t>
  </si>
  <si>
    <t xml:space="preserve">Bir kaynak, bir beklenen sonuç, zinciri bozabilecek iki koşul.</t>
  </si>
  <si>
    <t xml:space="preserve">Küba ve insani yardım</t>
  </si>
  <si>
    <t xml:space="preserve">Yardım faaliyeti ile yardımın medyada anlatılmasını ayrı düşünün.</t>
  </si>
  <si>
    <t xml:space="preserve">Faaliyet için bir kanıt, habercilik için bir kanıt, etki için bir eksik kanıt.</t>
  </si>
  <si>
    <t xml:space="preserve">Eğitim değişimleri</t>
  </si>
  <si>
    <t xml:space="preserve">Bir öğrenci değişim programında ev sahibi ile katılımcının ne öğrendiğini yazın.</t>
  </si>
  <si>
    <t xml:space="preserve">Katılım sayısının yanında izleyeceğiniz bir ilişki göstergesi.</t>
  </si>
  <si>
    <t xml:space="preserve">CPI ve iletişim ağı</t>
  </si>
  <si>
    <t xml:space="preserve">Kamuoyu Bilgilendirme Komitesini (CPI) merkez, aracı ve kitle olarak üç kutuya ayırın.</t>
  </si>
  <si>
    <t xml:space="preserve">Bir afişin üretilmesi ile bir kişinin ikna olması arasındaki eksik adım.</t>
  </si>
  <si>
    <t xml:space="preserve">Propaganda ve etik</t>
  </si>
  <si>
    <t xml:space="preserve">Doğru bilgiler içeren ama kaynağı gizli bir mesajı değerlendirin.</t>
  </si>
  <si>
    <t xml:space="preserve">Kaynak, eksik bağlam ve düzeltme yolu hakkında üç soru.</t>
  </si>
  <si>
    <t xml:space="preserve">Vakıflar ve özel ağlar</t>
  </si>
  <si>
    <t xml:space="preserve">Bir vakıf veya üniversite örneği seçin. Kimin finansman verdiğini ve kararı kimin aldığını ayırın.</t>
  </si>
  <si>
    <t xml:space="preserve">İki aktör ve birbirlerinden bağımsız olabilecekleri bir nokta.</t>
  </si>
  <si>
    <t xml:space="preserve">Savaş dönemi kurumları</t>
  </si>
  <si>
    <t xml:space="preserve">Notta tanıtılan üç kurumu amaç, hedef insanlar ve kullanılan araç başlıklarında karşılaştırın.</t>
  </si>
  <si>
    <t xml:space="preserve">Üç kısa satır. Aynı aracı kullanmanın neden aynı görev olmadığını ekleyin.</t>
  </si>
  <si>
    <t xml:space="preserve">Radyo, sinema ve basın</t>
  </si>
  <si>
    <t xml:space="preserve">Aynı mesajın radyo, film ve gazetede nasıl farklı karşılanabileceğini düşünün.</t>
  </si>
  <si>
    <t xml:space="preserve">Üç mecra için birer avantaj ve birer sınır.</t>
  </si>
  <si>
    <t xml:space="preserve">Smith–Mundt ve kurumlar</t>
  </si>
  <si>
    <t xml:space="preserve">Yasal yetki, uygulama kapasitesi ve sonuç için ayrı kanıtlar belirleyin.</t>
  </si>
  <si>
    <t xml:space="preserve">Bir yasanın neyi mümkün kıldığı ve neyi tek başına kanıtlamadığı.</t>
  </si>
  <si>
    <t xml:space="preserve">Ülkeler arası karşılaştırma</t>
  </si>
  <si>
    <t xml:space="preserve">İki kültür kurumu veya yayıncıyı aynı üç soruyla karşılaştırın: kim yönetir, kime ulaşır, nasıl geri bildirim alır?</t>
  </si>
  <si>
    <t xml:space="preserve">İki satırlık karşılaştırma ve sonucu etkileyebilecek bir bağlam farkı.</t>
  </si>
  <si>
    <t xml:space="preserve">Etkiyi değerlendirmek</t>
  </si>
  <si>
    <t xml:space="preserve">3. sayfadaki sarı sayılardan birini değiştirin. Erişim ve destek değişimini ayrı okuyun.</t>
  </si>
  <si>
    <t xml:space="preserve">Dört cümle: amaç, gözlem, başka açıklama ve ek kanıt ihtiyacı.</t>
  </si>
  <si>
    <t xml:space="preserve">Kendi cümleniz için şablon: “Bu kaynak … gösteriyor. … sonucuna ulaşmak için ayrıca … gerekir.”</t>
  </si>
  <si>
    <t xml:space="preserve">Örnek: “Afiş, mesajın üretildiğini gösteriyor. İkna sonucuna ulaşmak için kitlenin tepkisini de bilmem gerekir.”</t>
  </si>
  <si>
    <t xml:space="preserve">Kaynak: Bu sitedeki 14 haftalık Türkçe ders notu. Bağlantılar yukarıdaki ilgili hafta satırındadır.</t>
  </si>
  <si>
    <t xml:space="preserve">Bir iddiayı kanıtla nasıl sınarım?</t>
  </si>
  <si>
    <t xml:space="preserve">1. “Ne söylüyorum?” sorusuna tek cümle yazın. 2. Elinizdeki belgeyi belirtin. 3. Belgenin sınırını yazın.</t>
  </si>
  <si>
    <t xml:space="preserve">Kanıt = iddiayı destekleyen iz. “Kanıt matrisi”, bu izleri aynı sorularla karşılaştırdığınız aşağıdaki tablodur.</t>
  </si>
  <si>
    <t xml:space="preserve">Gündelik örnek: Kafenin ilanını görmek, oradan kahve satın aldığınızı kanıtlamaz. Aradaki adımı ayrı gösterin.</t>
  </si>
  <si>
    <t xml:space="preserve">Çözülmüş örnekler: Aşağıdaki belge türleri öğretim içindir. Bunlar bulunmuş gerçek arşiv belgeleri değildir.</t>
  </si>
  <si>
    <t xml:space="preserve">Örnek</t>
  </si>
  <si>
    <t xml:space="preserve">Ne söylüyorum? (iddia)</t>
  </si>
  <si>
    <t xml:space="preserve">Neye bakıyorum? (belge türü)</t>
  </si>
  <si>
    <t xml:space="preserve">Belge neyi gösterebilir?</t>
  </si>
  <si>
    <t xml:space="preserve">Tek başına neyi göstermez?</t>
  </si>
  <si>
    <t xml:space="preserve">Başka ne açıklayabilir?</t>
  </si>
  <si>
    <t xml:space="preserve">Ders bağlantısı</t>
  </si>
  <si>
    <t xml:space="preserve">1. Üniversite değişimi</t>
  </si>
  <si>
    <t xml:space="preserve">“Programa katılım oldu.”</t>
  </si>
  <si>
    <t xml:space="preserve">Varsayılan katılım listesi.</t>
  </si>
  <si>
    <t xml:space="preserve">Listelenen kişilerin programa katılımını.</t>
  </si>
  <si>
    <t xml:space="preserve">Katılımcıların ülkeye güveninin arttığını.</t>
  </si>
  <si>
    <t xml:space="preserve">Başvuranlar ülkeye zaten ilgi duyuyor olabilir.</t>
  </si>
  <si>
    <t xml:space="preserve">2. CPI afişi</t>
  </si>
  <si>
    <t xml:space="preserve">“Komite bu mesajı üretti.”</t>
  </si>
  <si>
    <t xml:space="preserve">Varsayılan CPI afişi ve üretim kaydı.</t>
  </si>
  <si>
    <t xml:space="preserve">Mesajın içeriğini ve üretimini.</t>
  </si>
  <si>
    <t xml:space="preserve">Kaç kişinin gördüğünü veya ikna olduğunu.</t>
  </si>
  <si>
    <t xml:space="preserve">Destek, mesajdan önce var olmuş olabilir.</t>
  </si>
  <si>
    <t xml:space="preserve">3. Sinema gösterimi</t>
  </si>
  <si>
    <t xml:space="preserve">“Film gösterime sunuldu.”</t>
  </si>
  <si>
    <t xml:space="preserve">Varsayılan sinema programı.</t>
  </si>
  <si>
    <t xml:space="preserve">Belirli yerde gösterim planlandığını.</t>
  </si>
  <si>
    <t xml:space="preserve">Her izleyicinin aynı anlamı çıkardığını.</t>
  </si>
  <si>
    <t xml:space="preserve">Yerel yorumlar ve mevcut görüşler farklı olabilir.</t>
  </si>
  <si>
    <t xml:space="preserve">Şimdi siz: Bir ders notundan olay seçin. Sarı satırı doldurun. Belgeyi görmediyseniz “aranacak belge” yazın.</t>
  </si>
  <si>
    <t xml:space="preserve">Vakam / haftam</t>
  </si>
  <si>
    <t xml:space="preserve">Ne söylüyorum?</t>
  </si>
  <si>
    <t xml:space="preserve">Belgem / arayacağım belge</t>
  </si>
  <si>
    <t xml:space="preserve">Bundan ne öğrenirim?</t>
  </si>
  <si>
    <t xml:space="preserve">Neyi hâlâ bilmiyorum?</t>
  </si>
  <si>
    <t xml:space="preserve">Başka açıklama</t>
  </si>
  <si>
    <t xml:space="preserve">Kaynak veya sayfa</t>
  </si>
  <si>
    <t xml:space="preserve">Uygulama 1</t>
  </si>
  <si>
    <t xml:space="preserve">Uygulama 2</t>
  </si>
  <si>
    <t xml:space="preserve">Uygulama 3</t>
  </si>
  <si>
    <t xml:space="preserve">Uygulama 4</t>
  </si>
  <si>
    <t xml:space="preserve">Kendinizi kontrol edin: “Belge var” mı dedim, “etki var” mı dedim? İkincisini yazdıysam aradaki yolu gösterebildim mi?</t>
  </si>
  <si>
    <t xml:space="preserve">Örneklere temel: 6. hafta eğitim değişimi, 7. hafta CPI, 11. hafta medya. İlgili ders notları örnek satırlarında bağlıdır.</t>
  </si>
  <si>
    <t xml:space="preserve">Erişim ile destek değişimini ayırın</t>
  </si>
  <si>
    <t xml:space="preserve">Tamamen varsayımsal veri: A ve B hayalî kampanyalardır. Sayılar gerçek kişi, öğrenci veya tarihsel olay verisi değildir.</t>
  </si>
  <si>
    <t xml:space="preserve">1. Sarı hücrelere bakın. 2. Önce aşağıdaki çözülmüş örneği okuyun. 3. D10’u 600 yapıp sonuçları izleyin.</t>
  </si>
  <si>
    <t xml:space="preserve">Başlangıç örneğinde, her kampanyada ulaşılanlardan seçilmiş aynı 100 kişiye önce ve sonra aynı destek sorusu soruldu.</t>
  </si>
  <si>
    <t xml:space="preserve">“Destek” = soruya olumlu yanıt. İkna için daha güçlü kanıt gerekir. Kontrol grubu olmayan bu gözlem neden-sonuç kanıtlamaz.</t>
  </si>
  <si>
    <t xml:space="preserve">Kontrol grubu = kampanyayı almayan, karşılaştırma için izlenen benzer kişiler. Bu örnekte böyle bir grup yok.</t>
  </si>
  <si>
    <t xml:space="preserve">Kampanya</t>
  </si>
  <si>
    <t xml:space="preserve">Hedef kitle (kişi)</t>
  </si>
  <si>
    <t xml:space="preserve">Ulaşılan (kişi)</t>
  </si>
  <si>
    <t xml:space="preserve">İki ankette aynı grup (kişi)</t>
  </si>
  <si>
    <t xml:space="preserve">Önce destekleyen (kişi)</t>
  </si>
  <si>
    <t xml:space="preserve">Sonra destekleyen (kişi)</t>
  </si>
  <si>
    <t xml:space="preserve">Girdi durumu</t>
  </si>
  <si>
    <t xml:space="preserve">A kampanyası</t>
  </si>
  <si>
    <t xml:space="preserve">B kampanyası</t>
  </si>
  <si>
    <t xml:space="preserve">Sarı olmayan sonuç hücreleri otomatik hesaplanır. Hedef, anket grubu ve destek sayıları tutarlı olmalıdır.</t>
  </si>
  <si>
    <t xml:space="preserve">Erişim oranı</t>
  </si>
  <si>
    <t xml:space="preserve">Önce destek oranı</t>
  </si>
  <si>
    <t xml:space="preserve">Sonra destek oranı</t>
  </si>
  <si>
    <t xml:space="preserve">Değişim (yüzde puan)</t>
  </si>
  <si>
    <t xml:space="preserve">Hesap nasıl yapılır?</t>
  </si>
  <si>
    <t xml:space="preserve">Sonucu nasıl okurum?</t>
  </si>
  <si>
    <t xml:space="preserve">Erişim = ulaşan ÷ hedef.</t>
  </si>
  <si>
    <t xml:space="preserve">Değişim = sonra % − önce %.</t>
  </si>
  <si>
    <t xml:space="preserve">Çözülmüş başlangıç örneği: A’da 800 ÷ 1.000 = %80 erişim. Destek %40’tan %44’e çıkar: 4 yüzde puan.</t>
  </si>
  <si>
    <t xml:space="preserve">B’de başlangıç erişimi daha düşüktür (%40). Destek artışı daha büyüktür (15 yüzde puan). Görülmek ile ikna ayrı sorulardır.</t>
  </si>
  <si>
    <t xml:space="preserve">Alıştırma 1: D10’u 800’den 600’e değiştirin. Erişim %60 olur. Destek değişimi neden aynı kalır?</t>
  </si>
  <si>
    <t xml:space="preserve">Alıştırma 2: G10’u 44’ten 60’a değiştirin. Destek %60 olur ve artış 20 yüzde puana çıkar. Hangi veri değişti?</t>
  </si>
  <si>
    <t xml:space="preserve">Alıştırma 3: E10’u boş bırakın. Sonucun kaybolması neden %0 görünmesinden daha dürüsttür? Sonra 100 yazın.</t>
  </si>
  <si>
    <t xml:space="preserve">Alıştırma 4: “B daha çok ikna etti” demeden önce ne öğrenmelisiniz? Başlangıç farkları ve başka olayları düşünün.</t>
  </si>
  <si>
    <t xml:space="preserve">Cevabınız</t>
  </si>
  <si>
    <t xml:space="preserve">Erişim neyi ölçer?</t>
  </si>
  <si>
    <t xml:space="preserve">Destek neyi ölçer?</t>
  </si>
  <si>
    <t xml:space="preserve">Başka olası neden</t>
  </si>
  <si>
    <t xml:space="preserve">Hangi ek veri gerekir?</t>
  </si>
  <si>
    <t xml:space="preserve">Kararımın sınırı</t>
  </si>
  <si>
    <t xml:space="preserve">Bir cümlelik sonuç</t>
  </si>
  <si>
    <t xml:space="preserve">Benim açıklamam</t>
  </si>
  <si>
    <t xml:space="preserve">Formülü görmek için C16’ya tıklayın. Üstteki formül çubuğunda D10/C10, yani “ulaşan kişi / hedef kişi” görünür.</t>
  </si>
  <si>
    <t xml:space="preserve">Yüzde puan: %40 ile %44 arasındaki fark 4 puandır. Göreli yüzde artışı ise %10’dur. Bunlar farklı ölçülerdir.</t>
  </si>
  <si>
    <t xml:space="preserve">Kaynak: Bu sayfadaki sayılar öğretim amacıyla kuruldu. Kavramlar dersin 1. ve 14. hafta notlarına dayanır.</t>
  </si>
  <si>
    <t xml:space="preserve">Kavramları günlük dille okuyun</t>
  </si>
  <si>
    <t xml:space="preserve">1. Bilmediğiniz sözcüğü bulun. 2. Günlük örneği okuyun. 3. Son sütundaki soruyu seçtiğiniz ders vakasına uygulayın.</t>
  </si>
  <si>
    <t xml:space="preserve">Kavram</t>
  </si>
  <si>
    <t xml:space="preserve">Kısaca anlamı</t>
  </si>
  <si>
    <t xml:space="preserve">Günlük benzetme</t>
  </si>
  <si>
    <t xml:space="preserve">Kendinize sorun</t>
  </si>
  <si>
    <t xml:space="preserve">Aktör</t>
  </si>
  <si>
    <t xml:space="preserve">Bir şey yapmaya çalışan kişi veya kuruluş.</t>
  </si>
  <si>
    <t xml:space="preserve">Kafe sahibi bir ilan hazırlatıyor.</t>
  </si>
  <si>
    <t xml:space="preserve">Kim, neyi değiştirmeye çalışıyor?</t>
  </si>
  <si>
    <t xml:space="preserve">Hedef kamu</t>
  </si>
  <si>
    <t xml:space="preserve">Mesajla veya programla ilişki kurulan insan topluluğu.</t>
  </si>
  <si>
    <t xml:space="preserve">Kafenin çevresindeki öğrenciler.</t>
  </si>
  <si>
    <t xml:space="preserve">Hangi insanlar? Hepsini aynı mı sayıyorum?</t>
  </si>
  <si>
    <t xml:space="preserve">Kaynak</t>
  </si>
  <si>
    <t xml:space="preserve">Kullanılabilecek para, bilgi, ilişki veya itibar.</t>
  </si>
  <si>
    <t xml:space="preserve">Kafenin bütçesi ve iyi adı.</t>
  </si>
  <si>
    <t xml:space="preserve">Sahip olunan imkân mı, gözlenmiş sonuç mu?</t>
  </si>
  <si>
    <t xml:space="preserve">Araç</t>
  </si>
  <si>
    <t xml:space="preserve">Kaynağın insanlarla temas etme biçimi.</t>
  </si>
  <si>
    <t xml:space="preserve">İlan, tanıtım etkinliği veya davet.</t>
  </si>
  <si>
    <t xml:space="preserve">Temas nasıl kuruluyor?</t>
  </si>
  <si>
    <t xml:space="preserve">Mekanizma</t>
  </si>
  <si>
    <t xml:space="preserve">Bir şeyin başka bir şeyi nasıl değiştirebileceğini anlatan yol.</t>
  </si>
  <si>
    <t xml:space="preserve">Güvenilir bir tavsiye, deneme isteği doğuruyor.</t>
  </si>
  <si>
    <t xml:space="preserve">Aradaki adım ne? Bu adımı gözleyebilir miyim?</t>
  </si>
  <si>
    <t xml:space="preserve">Erişim</t>
  </si>
  <si>
    <t xml:space="preserve">İnsanların içerikle karşılaşması. Tanımını ve sayım yöntemini belirtin.</t>
  </si>
  <si>
    <t xml:space="preserve">Kaç kişi ilanı gerçekten gördü?</t>
  </si>
  <si>
    <t xml:space="preserve">Görüntülenme mi, tekil kişi mi, olası erişim mi?</t>
  </si>
  <si>
    <t xml:space="preserve">Alımlama</t>
  </si>
  <si>
    <t xml:space="preserve">İnsanların mesajı nasıl anladığı ve değerlendirdiği.</t>
  </si>
  <si>
    <t xml:space="preserve">Aynı ilanı biri faydalı, biri itici bulur.</t>
  </si>
  <si>
    <t xml:space="preserve">Kitle ne anlam çıkardı? Kendi sesini duyuyor muyum?</t>
  </si>
  <si>
    <t xml:space="preserve">Tutum ve davranış</t>
  </si>
  <si>
    <t xml:space="preserve">Tutum düşünce/değerlendirme, davranış gözlenebilir eylemdir.</t>
  </si>
  <si>
    <t xml:space="preserve">Kafeyi sevmek tutum, alışveriş yapmak davranıştır.</t>
  </si>
  <si>
    <t xml:space="preserve">Düşünce mi, eylem mi ölçüyorum?</t>
  </si>
  <si>
    <t xml:space="preserve">Sert güç</t>
  </si>
  <si>
    <t xml:space="preserve">Maliyet veya maddi kazancı değiştirerek davranışı etkileme.</t>
  </si>
  <si>
    <t xml:space="preserve">Koşullu ödül veya yaptırım günlük benzetme olabilir.</t>
  </si>
  <si>
    <t xml:space="preserve">Değişim maddi hesaptan mı kaynaklanıyor?</t>
  </si>
  <si>
    <t xml:space="preserve">Yumuşak güç</t>
  </si>
  <si>
    <t xml:space="preserve">Çekicilik ve meşru bulma yoluyla tercihleri şekillendirme kapasitesi.</t>
  </si>
  <si>
    <t xml:space="preserve">Birini, iyi örnek olduğu için izlemek.</t>
  </si>
  <si>
    <t xml:space="preserve">Hayranlığı politika desteğiyle karıştırıyor muyum?</t>
  </si>
  <si>
    <t xml:space="preserve">Kamu diplomasisi</t>
  </si>
  <si>
    <t xml:space="preserve">Dış amaçlarla bağlantılı olarak yabancı kamularla örgütlü etkileşim.</t>
  </si>
  <si>
    <t xml:space="preserve">Dinleme ve ortak çalışma, tek yönlü duyurudan farklı işler.</t>
  </si>
  <si>
    <t xml:space="preserve">Hangi dış amaç, hangi kamu, hangi geri bildirim?</t>
  </si>
  <si>
    <t xml:space="preserve">Propaganda</t>
  </si>
  <si>
    <t xml:space="preserve">Siyasal amaçla algı ve davranışı sistemli yönlendiren iletişim.</t>
  </si>
  <si>
    <t xml:space="preserve">Doğru bir parçayı seçip geri kalanını saklamak mümkün.</t>
  </si>
  <si>
    <t xml:space="preserve">Kaynak, eksik bağlam ve seçme özgürlüğü açık mı?</t>
  </si>
  <si>
    <t xml:space="preserve">Güvenilirlik</t>
  </si>
  <si>
    <t xml:space="preserve">Bir kaynağın inanılır ve güvenilmeye değer bulunması.</t>
  </si>
  <si>
    <t xml:space="preserve">Yanlışını açıkça düzelten bir konuşmacı.</t>
  </si>
  <si>
    <t xml:space="preserve">İnanma nedenini nasıl biliyorum?</t>
  </si>
  <si>
    <t xml:space="preserve">Karşılıklılık</t>
  </si>
  <si>
    <t xml:space="preserve">Tarafların birbirini dinleyip sürece katkı sunabilmesi.</t>
  </si>
  <si>
    <t xml:space="preserve">Birlikte karar vermek, yalnız emir almak değildir.</t>
  </si>
  <si>
    <t xml:space="preserve">Diğer taraf programı değiştirebiliyor mu?</t>
  </si>
  <si>
    <t xml:space="preserve">Rakip açıklama</t>
  </si>
  <si>
    <t xml:space="preserve">Gözlenen sonucu açıklayabilecek başka bir neden.</t>
  </si>
  <si>
    <t xml:space="preserve">Yeni müşteri ilan yerine yakın arkadaşının önerisiyle gelmiş olabilir.</t>
  </si>
  <si>
    <t xml:space="preserve">Sonuç zaten oluşacak mıydı? Başka ne değişti?</t>
  </si>
  <si>
    <t xml:space="preserve">Karşı olgu</t>
  </si>
  <si>
    <t xml:space="preserve">Bu faaliyet yapılmasaydı ne olacağını soran karşılaştırma.</t>
  </si>
  <si>
    <t xml:space="preserve">İlan verilmeseydi satışlar nasıl giderdi?</t>
  </si>
  <si>
    <t xml:space="preserve">Uygun karşılaştırma veya önceki eğilim var mı?</t>
  </si>
  <si>
    <t xml:space="preserve">Pay ve payda</t>
  </si>
  <si>
    <t xml:space="preserve">Oranda pay sayılan miktar, payda ilgili toplamdır.</t>
  </si>
  <si>
    <t xml:space="preserve">800 ulaşan / 1.000 hedef = %80.</t>
  </si>
  <si>
    <t xml:space="preserve">Aynı kitle ve dönemden sayıları mı bölüyorum?</t>
  </si>
  <si>
    <t xml:space="preserve">Yüzde puan</t>
  </si>
  <si>
    <t xml:space="preserve">İki yüzde arasındaki aritmetik fark.</t>
  </si>
  <si>
    <t xml:space="preserve">%40’tan %44’e geçiş 4 yüzde puandır.</t>
  </si>
  <si>
    <t xml:space="preserve">Yüzde artışıyla karıştırıyor muyum?</t>
  </si>
  <si>
    <t xml:space="preserve">Kaynak: Dersin Türkçe notlarındaki kavramsal açıklamalar. Günlük benzetmeler yalnızca öğrenmeyi kolaylaştıran örneklerdir.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</si>
</sst>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82B3A"/>
      <name val="Arial"/>
      <family val="0"/>
      <charset val="1"/>
    </font>
    <font>
      <b val="true"/>
      <sz val="17"/>
      <color rgb="FF801C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801C35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AF6"/>
        <bgColor rgb="FFFFFFFF"/>
      </patternFill>
    </fill>
    <fill>
      <patternFill patternType="solid">
        <fgColor rgb="FF182B3A"/>
        <bgColor rgb="FF003366"/>
      </patternFill>
    </fill>
    <fill>
      <patternFill patternType="solid">
        <fgColor rgb="FFFFF1C9"/>
        <bgColor rgb="FFFCE1D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B864"/>
      </bottom>
      <diagonal/>
    </border>
    <border diagonalUp="false" diagonalDown="false">
      <left/>
      <right/>
      <top/>
      <bottom style="thin">
        <color rgb="FFEEE8E2"/>
      </bottom>
      <diagonal/>
    </border>
    <border diagonalUp="false" diagonalDown="false">
      <left/>
      <right/>
      <top style="thin">
        <color rgb="FFEEE8E2"/>
      </top>
      <bottom style="thin">
        <color rgb="FFEEE8E2"/>
      </bottom>
      <diagonal/>
    </border>
    <border diagonalUp="false" diagonalDown="false">
      <left/>
      <right/>
      <top style="thin">
        <color rgb="FFEEE8E2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2635"/>
      </font>
      <fill>
        <patternFill>
          <bgColor rgb="FFFCE1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C2635"/>
      <rgbColor rgb="FFFFF1C9"/>
      <rgbColor rgb="FFFCF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8E2"/>
      <rgbColor rgb="FFFFFF99"/>
      <rgbColor rgb="FF99CCFF"/>
      <rgbColor rgb="FFFF99CC"/>
      <rgbColor rgb="FFCC99FF"/>
      <rgbColor rgb="FFFCE1DD"/>
      <rgbColor rgb="FF3366FF"/>
      <rgbColor rgb="FF33CCCC"/>
      <rgbColor rgb="FF99CC00"/>
      <rgbColor rgb="FFD9B864"/>
      <rgbColor rgb="FFFF9900"/>
      <rgbColor rgb="FFFF6600"/>
      <rgbColor rgb="FF666699"/>
      <rgbColor rgb="FF8296A4"/>
      <rgbColor rgb="FF003366"/>
      <rgbColor rgb="FF339966"/>
      <rgbColor rgb="FF003300"/>
      <rgbColor rgb="FF333300"/>
      <rgbColor rgb="FF993300"/>
      <rgbColor rgb="FF801C35"/>
      <rgbColor rgb="FF333399"/>
      <rgbColor rgb="FF18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Varsayımsal kampanyalarda erişim ve destek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"Erişim oranı"</c:f>
              <c:strCache>
                <c:ptCount val="1"/>
                <c:pt idx="0">
                  <c:v>Erişim oranı</c:v>
                </c:pt>
              </c:strCache>
            </c:strRef>
          </c:tx>
          <c:spPr>
            <a:solidFill>
              <a:srgbClr val="801C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Ölçüm Deneyi'!$B$16:$B$17</c:f>
              <c:strCache>
                <c:ptCount val="2"/>
                <c:pt idx="0">
                  <c:v>A kampanyası</c:v>
                </c:pt>
                <c:pt idx="1">
                  <c:v>B kampanyası</c:v>
                </c:pt>
              </c:strCache>
            </c:strRef>
          </c:cat>
          <c:val>
            <c:numRef>
              <c:f>'3 Ölçüm Deneyi'!$C$16:$C$17</c:f>
              <c:numCache>
                <c:formatCode>0.0%</c:formatCode>
                <c:ptCount val="2"/>
                <c:pt idx="0">
                  <c:v>0.8</c:v>
                </c:pt>
                <c:pt idx="1">
                  <c:v>0.4</c:v>
                </c:pt>
              </c:numCache>
            </c:numRef>
          </c:val>
        </c:ser>
        <c:ser>
          <c:idx val="1"/>
          <c:order val="1"/>
          <c:tx>
            <c:strRef>
              <c:f>"Önce destek oranı"</c:f>
              <c:strCache>
                <c:ptCount val="1"/>
                <c:pt idx="0">
                  <c:v>Önce destek oranı</c:v>
                </c:pt>
              </c:strCache>
            </c:strRef>
          </c:tx>
          <c:spPr>
            <a:solidFill>
              <a:srgbClr val="8296A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Ölçüm Deneyi'!$B$16:$B$17</c:f>
              <c:strCache>
                <c:ptCount val="2"/>
                <c:pt idx="0">
                  <c:v>A kampanyası</c:v>
                </c:pt>
                <c:pt idx="1">
                  <c:v>B kampanyası</c:v>
                </c:pt>
              </c:strCache>
            </c:strRef>
          </c:cat>
          <c:val>
            <c:numRef>
              <c:f>'3 Ölçüm Deneyi'!$D$16:$D$17</c:f>
              <c:numCache>
                <c:formatCode>0.0%</c:formatCode>
                <c:ptCount val="2"/>
                <c:pt idx="0">
                  <c:v>0.4</c:v>
                </c:pt>
                <c:pt idx="1">
                  <c:v>0.4</c:v>
                </c:pt>
              </c:numCache>
            </c:numRef>
          </c:val>
        </c:ser>
        <c:ser>
          <c:idx val="2"/>
          <c:order val="2"/>
          <c:tx>
            <c:strRef>
              <c:f>"Sonra destek oranı"</c:f>
              <c:strCache>
                <c:ptCount val="1"/>
                <c:pt idx="0">
                  <c:v>Sonra destek oranı</c:v>
                </c:pt>
              </c:strCache>
            </c:strRef>
          </c:tx>
          <c:spPr>
            <a:solidFill>
              <a:srgbClr val="D9B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Ölçüm Deneyi'!$B$16:$B$17</c:f>
              <c:strCache>
                <c:ptCount val="2"/>
                <c:pt idx="0">
                  <c:v>A kampanyası</c:v>
                </c:pt>
                <c:pt idx="1">
                  <c:v>B kampanyası</c:v>
                </c:pt>
              </c:strCache>
            </c:strRef>
          </c:cat>
          <c:val>
            <c:numRef>
              <c:f>'3 Ölçüm Deneyi'!$E$16:$E$17</c:f>
              <c:numCache>
                <c:formatCode>0.0%</c:formatCode>
                <c:ptCount val="2"/>
                <c:pt idx="0">
                  <c:v>0.44</c:v>
                </c:pt>
                <c:pt idx="1">
                  <c:v>0.55</c:v>
                </c:pt>
              </c:numCache>
            </c:numRef>
          </c:val>
        </c:ser>
        <c:gapWidth val="150"/>
        <c:overlap val="0"/>
        <c:axId val="96920239"/>
        <c:axId val="79127438"/>
      </c:barChart>
      <c:catAx>
        <c:axId val="9692023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9127438"/>
        <c:crosses val="autoZero"/>
        <c:auto val="1"/>
        <c:lblAlgn val="ctr"/>
        <c:lblOffset val="100"/>
        <c:noMultiLvlLbl val="0"/>
      </c:catAx>
      <c:valAx>
        <c:axId val="7912743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6920239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7</xdr:col>
      <xdr:colOff>1644480</xdr:colOff>
      <xdr:row>34</xdr:row>
      <xdr:rowOff>317160</xdr:rowOff>
    </xdr:to>
    <xdr:graphicFrame>
      <xdr:nvGraphicFramePr>
        <xdr:cNvPr id="1" name="Chart"/>
        <xdr:cNvGraphicFramePr/>
      </xdr:nvGraphicFramePr>
      <xdr:xfrm>
        <a:off x="187920" y="8064360"/>
        <a:ext cx="845856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6.11"/>
    <col collapsed="false" customWidth="true" hidden="false" outlineLevel="0" max="3" min="3" style="0" width="22.78"/>
    <col collapsed="false" customWidth="true" hidden="false" outlineLevel="0" max="4" min="4" style="0" width="40.56"/>
    <col collapsed="false" customWidth="true" hidden="false" outlineLevel="0" max="5" min="5" style="0" width="33.33"/>
    <col collapsed="false" customWidth="true" hidden="false" outlineLevel="0" max="6" min="6" style="0" width="13.34"/>
    <col collapsed="false" customWidth="true" hidden="false" outlineLevel="0" max="7" min="7" style="0" width="17.78"/>
    <col collapsed="false" customWidth="true" hidden="false" outlineLevel="0" max="8" min="8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1"/>
    </row>
    <row r="4" customFormat="false" ht="26" hidden="false" customHeight="true" outlineLevel="0" collapsed="false">
      <c r="A4" s="1"/>
      <c r="B4" s="1" t="s">
        <v>1</v>
      </c>
      <c r="C4" s="1"/>
      <c r="D4" s="1"/>
      <c r="E4" s="1"/>
      <c r="F4" s="1"/>
      <c r="G4" s="1"/>
      <c r="H4" s="1"/>
    </row>
    <row r="5" customFormat="false" ht="26" hidden="false" customHeight="true" outlineLevel="0" collapsed="false">
      <c r="A5" s="1"/>
      <c r="B5" s="1" t="s">
        <v>2</v>
      </c>
      <c r="C5" s="1"/>
      <c r="D5" s="1"/>
      <c r="E5" s="1"/>
      <c r="F5" s="1"/>
      <c r="G5" s="1"/>
      <c r="H5" s="1"/>
    </row>
    <row r="6" customFormat="false" ht="26" hidden="false" customHeight="true" outlineLevel="0" collapsed="false">
      <c r="A6" s="1"/>
      <c r="B6" s="1" t="s">
        <v>3</v>
      </c>
      <c r="C6" s="1"/>
      <c r="D6" s="1"/>
      <c r="E6" s="1"/>
      <c r="F6" s="1"/>
      <c r="G6" s="1"/>
      <c r="H6" s="1"/>
    </row>
    <row r="7" customFormat="false" ht="25" hidden="false" customHeight="tru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26" hidden="false" customHeight="true" outlineLevel="0" collapsed="false">
      <c r="A8" s="1"/>
      <c r="B8" s="1" t="s">
        <v>4</v>
      </c>
      <c r="C8" s="1"/>
      <c r="D8" s="1"/>
      <c r="E8" s="1"/>
      <c r="F8" s="1"/>
      <c r="G8" s="1"/>
      <c r="H8" s="1"/>
    </row>
    <row r="9" customFormat="false" ht="26" hidden="false" customHeight="true" outlineLevel="0" collapsed="false">
      <c r="A9" s="1"/>
      <c r="B9" s="1" t="s">
        <v>5</v>
      </c>
      <c r="C9" s="1"/>
      <c r="D9" s="1"/>
      <c r="E9" s="1"/>
      <c r="F9" s="1"/>
      <c r="G9" s="1"/>
      <c r="H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42" hidden="false" customHeight="true" outlineLevel="0" collapsed="false">
      <c r="A11" s="1"/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1"/>
    </row>
    <row r="12" customFormat="false" ht="60" hidden="false" customHeight="true" outlineLevel="0" collapsed="false">
      <c r="A12" s="1"/>
      <c r="B12" s="5" t="n">
        <v>1</v>
      </c>
      <c r="C12" s="6" t="s">
        <v>12</v>
      </c>
      <c r="D12" s="6" t="s">
        <v>13</v>
      </c>
      <c r="E12" s="6" t="s">
        <v>14</v>
      </c>
      <c r="F12" s="7" t="str">
        <f aca="false">HYPERLINK("https://mayhewforever.github.io/kamudiplomasisi/notes/Hafta_01_Ders_Notu_TR.html","Ders notunu aç")</f>
        <v>Ders notunu aç</v>
      </c>
      <c r="G12" s="8" t="s">
        <v>15</v>
      </c>
      <c r="H12" s="1"/>
    </row>
    <row r="13" customFormat="false" ht="60" hidden="false" customHeight="true" outlineLevel="0" collapsed="false">
      <c r="A13" s="1"/>
      <c r="B13" s="9" t="n">
        <v>2</v>
      </c>
      <c r="C13" s="10" t="s">
        <v>16</v>
      </c>
      <c r="D13" s="10" t="s">
        <v>17</v>
      </c>
      <c r="E13" s="10" t="s">
        <v>18</v>
      </c>
      <c r="F13" s="11" t="str">
        <f aca="false">HYPERLINK("https://mayhewforever.github.io/kamudiplomasisi/notes/Hafta_02_Ders_Notu_TR.html","Ders notunu aç")</f>
        <v>Ders notunu aç</v>
      </c>
      <c r="G13" s="12" t="s">
        <v>15</v>
      </c>
      <c r="H13" s="1"/>
    </row>
    <row r="14" customFormat="false" ht="60" hidden="false" customHeight="true" outlineLevel="0" collapsed="false">
      <c r="A14" s="1"/>
      <c r="B14" s="9" t="n">
        <v>3</v>
      </c>
      <c r="C14" s="10" t="s">
        <v>19</v>
      </c>
      <c r="D14" s="10" t="s">
        <v>20</v>
      </c>
      <c r="E14" s="10" t="s">
        <v>21</v>
      </c>
      <c r="F14" s="11" t="str">
        <f aca="false">HYPERLINK("https://mayhewforever.github.io/kamudiplomasisi/notes/Hafta_03_Ders_Notu_TR.html","Ders notunu aç")</f>
        <v>Ders notunu aç</v>
      </c>
      <c r="G14" s="12" t="s">
        <v>15</v>
      </c>
      <c r="H14" s="1"/>
    </row>
    <row r="15" customFormat="false" ht="60" hidden="false" customHeight="true" outlineLevel="0" collapsed="false">
      <c r="A15" s="1"/>
      <c r="B15" s="9" t="n">
        <v>4</v>
      </c>
      <c r="C15" s="10" t="s">
        <v>22</v>
      </c>
      <c r="D15" s="10" t="s">
        <v>23</v>
      </c>
      <c r="E15" s="10" t="s">
        <v>24</v>
      </c>
      <c r="F15" s="11" t="str">
        <f aca="false">HYPERLINK("https://mayhewforever.github.io/kamudiplomasisi/notes/Hafta_04_Ders_Notu_TR.html","Ders notunu aç")</f>
        <v>Ders notunu aç</v>
      </c>
      <c r="G15" s="12" t="s">
        <v>15</v>
      </c>
      <c r="H15" s="1"/>
    </row>
    <row r="16" customFormat="false" ht="60" hidden="false" customHeight="true" outlineLevel="0" collapsed="false">
      <c r="A16" s="1"/>
      <c r="B16" s="9" t="n">
        <v>5</v>
      </c>
      <c r="C16" s="10" t="s">
        <v>25</v>
      </c>
      <c r="D16" s="10" t="s">
        <v>26</v>
      </c>
      <c r="E16" s="10" t="s">
        <v>27</v>
      </c>
      <c r="F16" s="11" t="str">
        <f aca="false">HYPERLINK("https://mayhewforever.github.io/kamudiplomasisi/notes/Hafta_05_Ders_Notu_TR.html","Ders notunu aç")</f>
        <v>Ders notunu aç</v>
      </c>
      <c r="G16" s="12" t="s">
        <v>15</v>
      </c>
      <c r="H16" s="1"/>
    </row>
    <row r="17" customFormat="false" ht="60" hidden="false" customHeight="true" outlineLevel="0" collapsed="false">
      <c r="A17" s="1"/>
      <c r="B17" s="9" t="n">
        <v>6</v>
      </c>
      <c r="C17" s="10" t="s">
        <v>28</v>
      </c>
      <c r="D17" s="10" t="s">
        <v>29</v>
      </c>
      <c r="E17" s="10" t="s">
        <v>30</v>
      </c>
      <c r="F17" s="11" t="str">
        <f aca="false">HYPERLINK("https://mayhewforever.github.io/kamudiplomasisi/notes/Hafta_06_Ders_Notu_TR.html","Ders notunu aç")</f>
        <v>Ders notunu aç</v>
      </c>
      <c r="G17" s="12" t="s">
        <v>15</v>
      </c>
      <c r="H17" s="1"/>
    </row>
    <row r="18" customFormat="false" ht="60" hidden="false" customHeight="true" outlineLevel="0" collapsed="false">
      <c r="A18" s="1"/>
      <c r="B18" s="9" t="n">
        <v>7</v>
      </c>
      <c r="C18" s="10" t="s">
        <v>31</v>
      </c>
      <c r="D18" s="10" t="s">
        <v>32</v>
      </c>
      <c r="E18" s="10" t="s">
        <v>33</v>
      </c>
      <c r="F18" s="11" t="str">
        <f aca="false">HYPERLINK("https://mayhewforever.github.io/kamudiplomasisi/notes/Hafta_07_Ders_Notu_TR.html","Ders notunu aç")</f>
        <v>Ders notunu aç</v>
      </c>
      <c r="G18" s="12" t="s">
        <v>15</v>
      </c>
      <c r="H18" s="1"/>
    </row>
    <row r="19" customFormat="false" ht="60" hidden="false" customHeight="true" outlineLevel="0" collapsed="false">
      <c r="A19" s="1"/>
      <c r="B19" s="9" t="n">
        <v>8</v>
      </c>
      <c r="C19" s="10" t="s">
        <v>34</v>
      </c>
      <c r="D19" s="10" t="s">
        <v>35</v>
      </c>
      <c r="E19" s="10" t="s">
        <v>36</v>
      </c>
      <c r="F19" s="11" t="str">
        <f aca="false">HYPERLINK("https://mayhewforever.github.io/kamudiplomasisi/notes/Hafta_08_Ders_Notu_TR.html","Ders notunu aç")</f>
        <v>Ders notunu aç</v>
      </c>
      <c r="G19" s="12" t="s">
        <v>15</v>
      </c>
      <c r="H19" s="1"/>
    </row>
    <row r="20" customFormat="false" ht="60" hidden="false" customHeight="true" outlineLevel="0" collapsed="false">
      <c r="A20" s="1"/>
      <c r="B20" s="9" t="n">
        <v>9</v>
      </c>
      <c r="C20" s="10" t="s">
        <v>37</v>
      </c>
      <c r="D20" s="10" t="s">
        <v>38</v>
      </c>
      <c r="E20" s="10" t="s">
        <v>39</v>
      </c>
      <c r="F20" s="11" t="str">
        <f aca="false">HYPERLINK("https://mayhewforever.github.io/kamudiplomasisi/notes/Hafta_09_Ders_Notu_TR.html","Ders notunu aç")</f>
        <v>Ders notunu aç</v>
      </c>
      <c r="G20" s="12" t="s">
        <v>15</v>
      </c>
      <c r="H20" s="1"/>
    </row>
    <row r="21" customFormat="false" ht="60" hidden="false" customHeight="true" outlineLevel="0" collapsed="false">
      <c r="A21" s="1"/>
      <c r="B21" s="9" t="n">
        <v>10</v>
      </c>
      <c r="C21" s="10" t="s">
        <v>40</v>
      </c>
      <c r="D21" s="10" t="s">
        <v>41</v>
      </c>
      <c r="E21" s="10" t="s">
        <v>42</v>
      </c>
      <c r="F21" s="11" t="str">
        <f aca="false">HYPERLINK("https://mayhewforever.github.io/kamudiplomasisi/notes/Hafta_10_Ders_Notu_TR.html","Ders notunu aç")</f>
        <v>Ders notunu aç</v>
      </c>
      <c r="G21" s="12" t="s">
        <v>15</v>
      </c>
      <c r="H21" s="1"/>
    </row>
    <row r="22" customFormat="false" ht="60" hidden="false" customHeight="true" outlineLevel="0" collapsed="false">
      <c r="A22" s="1"/>
      <c r="B22" s="9" t="n">
        <v>11</v>
      </c>
      <c r="C22" s="10" t="s">
        <v>43</v>
      </c>
      <c r="D22" s="10" t="s">
        <v>44</v>
      </c>
      <c r="E22" s="10" t="s">
        <v>45</v>
      </c>
      <c r="F22" s="11" t="str">
        <f aca="false">HYPERLINK("https://mayhewforever.github.io/kamudiplomasisi/notes/Hafta_11_Ders_Notu_TR.html","Ders notunu aç")</f>
        <v>Ders notunu aç</v>
      </c>
      <c r="G22" s="12" t="s">
        <v>15</v>
      </c>
      <c r="H22" s="1"/>
    </row>
    <row r="23" customFormat="false" ht="60" hidden="false" customHeight="true" outlineLevel="0" collapsed="false">
      <c r="A23" s="1"/>
      <c r="B23" s="9" t="n">
        <v>12</v>
      </c>
      <c r="C23" s="10" t="s">
        <v>46</v>
      </c>
      <c r="D23" s="10" t="s">
        <v>47</v>
      </c>
      <c r="E23" s="10" t="s">
        <v>48</v>
      </c>
      <c r="F23" s="11" t="str">
        <f aca="false">HYPERLINK("https://mayhewforever.github.io/kamudiplomasisi/notes/Hafta_12_Ders_Notu_TR.html","Ders notunu aç")</f>
        <v>Ders notunu aç</v>
      </c>
      <c r="G23" s="12" t="s">
        <v>15</v>
      </c>
      <c r="H23" s="1"/>
    </row>
    <row r="24" customFormat="false" ht="60" hidden="false" customHeight="true" outlineLevel="0" collapsed="false">
      <c r="A24" s="1"/>
      <c r="B24" s="9" t="n">
        <v>13</v>
      </c>
      <c r="C24" s="10" t="s">
        <v>49</v>
      </c>
      <c r="D24" s="10" t="s">
        <v>50</v>
      </c>
      <c r="E24" s="10" t="s">
        <v>51</v>
      </c>
      <c r="F24" s="11" t="str">
        <f aca="false">HYPERLINK("https://mayhewforever.github.io/kamudiplomasisi/notes/Hafta_13_Ders_Notu_TR.html","Ders notunu aç")</f>
        <v>Ders notunu aç</v>
      </c>
      <c r="G24" s="12" t="s">
        <v>15</v>
      </c>
      <c r="H24" s="1"/>
    </row>
    <row r="25" customFormat="false" ht="60" hidden="false" customHeight="true" outlineLevel="0" collapsed="false">
      <c r="A25" s="1"/>
      <c r="B25" s="13" t="n">
        <v>14</v>
      </c>
      <c r="C25" s="14" t="s">
        <v>52</v>
      </c>
      <c r="D25" s="14" t="s">
        <v>53</v>
      </c>
      <c r="E25" s="14" t="s">
        <v>54</v>
      </c>
      <c r="F25" s="15" t="str">
        <f aca="false">HYPERLINK("https://mayhewforever.github.io/kamudiplomasisi/notes/Hafta_14_Ders_Notu_TR.html","Ders notunu aç")</f>
        <v>Ders notunu aç</v>
      </c>
      <c r="G25" s="16" t="s">
        <v>15</v>
      </c>
      <c r="H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26" hidden="false" customHeight="true" outlineLevel="0" collapsed="false">
      <c r="A28" s="1"/>
      <c r="B28" s="1" t="s">
        <v>55</v>
      </c>
      <c r="C28" s="1"/>
      <c r="D28" s="1"/>
      <c r="E28" s="1"/>
      <c r="F28" s="1"/>
      <c r="G28" s="1"/>
      <c r="H28" s="1"/>
    </row>
    <row r="29" customFormat="false" ht="25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26" hidden="false" customHeight="true" outlineLevel="0" collapsed="false">
      <c r="A30" s="1"/>
      <c r="B30" s="1" t="s">
        <v>56</v>
      </c>
      <c r="C30" s="1"/>
      <c r="D30" s="1"/>
      <c r="E30" s="1"/>
      <c r="F30" s="1"/>
      <c r="G30" s="1"/>
      <c r="H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26" hidden="false" customHeight="true" outlineLevel="0" collapsed="false">
      <c r="A32" s="1"/>
      <c r="B32" s="1" t="s">
        <v>57</v>
      </c>
      <c r="C32" s="1"/>
      <c r="D32" s="1"/>
      <c r="E32" s="1"/>
      <c r="F32" s="1"/>
      <c r="G32" s="1"/>
      <c r="H32" s="1"/>
    </row>
    <row r="33" customFormat="false" ht="25" hidden="false" customHeight="tru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25" hidden="false" customHeight="true" outlineLevel="0" collapsed="false">
      <c r="A34" s="1"/>
      <c r="B34" s="1"/>
      <c r="C34" s="1"/>
      <c r="D34" s="1"/>
      <c r="E34" s="1"/>
      <c r="F34" s="1"/>
      <c r="G34" s="1"/>
      <c r="H34" s="1"/>
    </row>
  </sheetData>
  <dataValidations count="1">
    <dataValidation allowBlank="false" errorStyle="stop" operator="between" showDropDown="false" showErrorMessage="false" showInputMessage="false" sqref="G12:G25" type="list">
      <formula1>"Başlamadım,Üzerinde çalışıyorum,Tamamladım"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20"/>
    <col collapsed="false" customWidth="true" hidden="false" outlineLevel="0" max="3" min="3" style="0" width="22.78"/>
    <col collapsed="false" customWidth="true" hidden="false" outlineLevel="0" max="4" min="4" style="0" width="23.33"/>
    <col collapsed="false" customWidth="true" hidden="false" outlineLevel="0" max="5" min="5" style="0" width="23.89"/>
    <col collapsed="false" customWidth="true" hidden="false" outlineLevel="0" max="6" min="6" style="0" width="23.33"/>
    <col collapsed="false" customWidth="true" hidden="false" outlineLevel="0" max="7" min="7" style="0" width="22.22"/>
    <col collapsed="false" customWidth="true" hidden="false" outlineLevel="0" max="8" min="8" style="0" width="14.44"/>
    <col collapsed="false" customWidth="true" hidden="false" outlineLevel="0" max="9" min="9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1"/>
      <c r="B2" s="2" t="s">
        <v>58</v>
      </c>
      <c r="C2" s="1"/>
      <c r="D2" s="1"/>
      <c r="E2" s="1"/>
      <c r="F2" s="1"/>
      <c r="G2" s="1"/>
      <c r="H2" s="1"/>
      <c r="I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1"/>
    </row>
    <row r="4" customFormat="false" ht="26" hidden="false" customHeight="true" outlineLevel="0" collapsed="false">
      <c r="A4" s="1"/>
      <c r="B4" s="1" t="s">
        <v>59</v>
      </c>
      <c r="C4" s="1"/>
      <c r="D4" s="1"/>
      <c r="E4" s="1"/>
      <c r="F4" s="1"/>
      <c r="G4" s="1"/>
      <c r="H4" s="1"/>
      <c r="I4" s="1"/>
    </row>
    <row r="5" customFormat="false" ht="26" hidden="false" customHeight="true" outlineLevel="0" collapsed="false">
      <c r="A5" s="1"/>
      <c r="B5" s="1" t="s">
        <v>60</v>
      </c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"/>
      <c r="B6" s="1" t="s">
        <v>61</v>
      </c>
      <c r="C6" s="1"/>
      <c r="D6" s="1"/>
      <c r="E6" s="1"/>
      <c r="F6" s="1"/>
      <c r="G6" s="1"/>
      <c r="H6" s="1"/>
      <c r="I6" s="1"/>
    </row>
    <row r="7" customFormat="false" ht="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26" hidden="false" customHeight="true" outlineLevel="0" collapsed="false">
      <c r="A8" s="1"/>
      <c r="B8" s="1" t="s">
        <v>62</v>
      </c>
      <c r="C8" s="1"/>
      <c r="D8" s="1"/>
      <c r="E8" s="1"/>
      <c r="F8" s="1"/>
      <c r="G8" s="1"/>
      <c r="H8" s="1"/>
      <c r="I8" s="1"/>
    </row>
    <row r="9" customFormat="false" ht="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42" hidden="false" customHeight="true" outlineLevel="0" collapsed="false">
      <c r="A10" s="1"/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1"/>
    </row>
    <row r="11" customFormat="false" ht="65" hidden="false" customHeight="true" outlineLevel="0" collapsed="false">
      <c r="A11" s="1"/>
      <c r="B11" s="6" t="s">
        <v>70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75</v>
      </c>
      <c r="H11" s="7" t="str">
        <f aca="false">HYPERLINK("https://mayhewforever.github.io/kamudiplomasisi/notes/Hafta_06_Ders_Notu_TR.html","Ders notunu aç")</f>
        <v>Ders notunu aç</v>
      </c>
      <c r="I11" s="1"/>
    </row>
    <row r="12" customFormat="false" ht="65" hidden="false" customHeight="true" outlineLevel="0" collapsed="false">
      <c r="A12" s="1"/>
      <c r="B12" s="10" t="s">
        <v>76</v>
      </c>
      <c r="C12" s="10" t="s">
        <v>77</v>
      </c>
      <c r="D12" s="10" t="s">
        <v>78</v>
      </c>
      <c r="E12" s="10" t="s">
        <v>79</v>
      </c>
      <c r="F12" s="10" t="s">
        <v>80</v>
      </c>
      <c r="G12" s="10" t="s">
        <v>81</v>
      </c>
      <c r="H12" s="11" t="str">
        <f aca="false">HYPERLINK("https://mayhewforever.github.io/kamudiplomasisi/notes/Hafta_07_Ders_Notu_TR.html","Ders notunu aç")</f>
        <v>Ders notunu aç</v>
      </c>
      <c r="I12" s="1"/>
    </row>
    <row r="13" customFormat="false" ht="65" hidden="false" customHeight="true" outlineLevel="0" collapsed="false">
      <c r="A13" s="1"/>
      <c r="B13" s="14" t="s">
        <v>82</v>
      </c>
      <c r="C13" s="14" t="s">
        <v>83</v>
      </c>
      <c r="D13" s="14" t="s">
        <v>84</v>
      </c>
      <c r="E13" s="14" t="s">
        <v>85</v>
      </c>
      <c r="F13" s="14" t="s">
        <v>86</v>
      </c>
      <c r="G13" s="14" t="s">
        <v>87</v>
      </c>
      <c r="H13" s="15" t="str">
        <f aca="false">HYPERLINK("https://mayhewforever.github.io/kamudiplomasisi/notes/Hafta_11_Ders_Notu_TR.html","Ders notunu aç")</f>
        <v>Ders notunu aç</v>
      </c>
      <c r="I13" s="1"/>
    </row>
    <row r="14" customFormat="false" ht="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26" hidden="false" customHeight="true" outlineLevel="0" collapsed="false">
      <c r="A15" s="1"/>
      <c r="B15" s="1" t="s">
        <v>88</v>
      </c>
      <c r="C15" s="1"/>
      <c r="D15" s="1"/>
      <c r="E15" s="1"/>
      <c r="F15" s="1"/>
      <c r="G15" s="1"/>
      <c r="H15" s="1"/>
      <c r="I15" s="1"/>
    </row>
    <row r="16" customFormat="false" ht="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42" hidden="false" customHeight="true" outlineLevel="0" collapsed="false">
      <c r="A17" s="1"/>
      <c r="B17" s="4" t="s">
        <v>89</v>
      </c>
      <c r="C17" s="4" t="s">
        <v>90</v>
      </c>
      <c r="D17" s="4" t="s">
        <v>91</v>
      </c>
      <c r="E17" s="4" t="s">
        <v>92</v>
      </c>
      <c r="F17" s="4" t="s">
        <v>93</v>
      </c>
      <c r="G17" s="4" t="s">
        <v>94</v>
      </c>
      <c r="H17" s="4" t="s">
        <v>95</v>
      </c>
      <c r="I17" s="1"/>
    </row>
    <row r="18" customFormat="false" ht="74" hidden="false" customHeight="true" outlineLevel="0" collapsed="false">
      <c r="A18" s="1"/>
      <c r="B18" s="8" t="s">
        <v>96</v>
      </c>
      <c r="C18" s="8"/>
      <c r="D18" s="8"/>
      <c r="E18" s="8"/>
      <c r="F18" s="8"/>
      <c r="G18" s="8"/>
      <c r="H18" s="8"/>
      <c r="I18" s="1"/>
    </row>
    <row r="19" customFormat="false" ht="74" hidden="false" customHeight="true" outlineLevel="0" collapsed="false">
      <c r="A19" s="1"/>
      <c r="B19" s="12" t="s">
        <v>97</v>
      </c>
      <c r="C19" s="12"/>
      <c r="D19" s="12"/>
      <c r="E19" s="12"/>
      <c r="F19" s="12"/>
      <c r="G19" s="12"/>
      <c r="H19" s="12"/>
      <c r="I19" s="1"/>
    </row>
    <row r="20" customFormat="false" ht="74" hidden="false" customHeight="true" outlineLevel="0" collapsed="false">
      <c r="A20" s="1"/>
      <c r="B20" s="12" t="s">
        <v>98</v>
      </c>
      <c r="C20" s="12"/>
      <c r="D20" s="12"/>
      <c r="E20" s="12"/>
      <c r="F20" s="12"/>
      <c r="G20" s="12"/>
      <c r="H20" s="12"/>
      <c r="I20" s="1"/>
    </row>
    <row r="21" customFormat="false" ht="74" hidden="false" customHeight="true" outlineLevel="0" collapsed="false">
      <c r="A21" s="1"/>
      <c r="B21" s="16" t="s">
        <v>99</v>
      </c>
      <c r="C21" s="16"/>
      <c r="D21" s="16"/>
      <c r="E21" s="16"/>
      <c r="F21" s="16"/>
      <c r="G21" s="16"/>
      <c r="H21" s="16"/>
      <c r="I21" s="1"/>
    </row>
    <row r="22" customFormat="false" ht="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26" hidden="false" customHeight="true" outlineLevel="0" collapsed="false">
      <c r="A23" s="1"/>
      <c r="B23" s="1" t="s">
        <v>100</v>
      </c>
      <c r="C23" s="1"/>
      <c r="D23" s="1"/>
      <c r="E23" s="1"/>
      <c r="F23" s="1"/>
      <c r="G23" s="1"/>
      <c r="H23" s="1"/>
      <c r="I23" s="1"/>
    </row>
    <row r="24" customFormat="false" ht="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26" hidden="false" customHeight="true" outlineLevel="0" collapsed="false">
      <c r="A25" s="1"/>
      <c r="B25" s="1" t="s">
        <v>101</v>
      </c>
      <c r="C25" s="1"/>
      <c r="D25" s="1"/>
      <c r="E25" s="1"/>
      <c r="F25" s="1"/>
      <c r="G25" s="1"/>
      <c r="H25" s="1"/>
      <c r="I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18.34"/>
    <col collapsed="false" customWidth="true" hidden="false" outlineLevel="0" max="4" min="3" style="0" width="15.56"/>
    <col collapsed="false" customWidth="true" hidden="false" outlineLevel="0" max="5" min="5" style="0" width="16.11"/>
    <col collapsed="false" customWidth="true" hidden="false" outlineLevel="0" max="7" min="6" style="0" width="15.56"/>
    <col collapsed="false" customWidth="true" hidden="false" outlineLevel="0" max="8" min="8" style="0" width="23.33"/>
    <col collapsed="false" customWidth="true" hidden="false" outlineLevel="0" max="9" min="9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1"/>
      <c r="B2" s="2" t="s">
        <v>102</v>
      </c>
      <c r="C2" s="1"/>
      <c r="D2" s="1"/>
      <c r="E2" s="1"/>
      <c r="F2" s="1"/>
      <c r="G2" s="1"/>
      <c r="H2" s="1"/>
      <c r="I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1"/>
    </row>
    <row r="4" customFormat="false" ht="26" hidden="false" customHeight="true" outlineLevel="0" collapsed="false">
      <c r="A4" s="1"/>
      <c r="B4" s="1" t="s">
        <v>103</v>
      </c>
      <c r="C4" s="1"/>
      <c r="D4" s="1"/>
      <c r="E4" s="1"/>
      <c r="F4" s="1"/>
      <c r="G4" s="1"/>
      <c r="H4" s="1"/>
      <c r="I4" s="1"/>
    </row>
    <row r="5" customFormat="false" ht="26" hidden="false" customHeight="true" outlineLevel="0" collapsed="false">
      <c r="A5" s="1"/>
      <c r="B5" s="1" t="s">
        <v>104</v>
      </c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"/>
      <c r="B6" s="1" t="s">
        <v>105</v>
      </c>
      <c r="C6" s="1"/>
      <c r="D6" s="1"/>
      <c r="E6" s="1"/>
      <c r="F6" s="1"/>
      <c r="G6" s="1"/>
      <c r="H6" s="1"/>
      <c r="I6" s="1"/>
    </row>
    <row r="7" customFormat="false" ht="26" hidden="false" customHeight="true" outlineLevel="0" collapsed="false">
      <c r="A7" s="1"/>
      <c r="B7" s="1" t="s">
        <v>106</v>
      </c>
      <c r="C7" s="1"/>
      <c r="D7" s="1"/>
      <c r="E7" s="1"/>
      <c r="F7" s="1"/>
      <c r="G7" s="1"/>
      <c r="H7" s="1"/>
      <c r="I7" s="1"/>
    </row>
    <row r="8" customFormat="false" ht="26" hidden="false" customHeight="true" outlineLevel="0" collapsed="false">
      <c r="A8" s="1"/>
      <c r="B8" s="1" t="s">
        <v>107</v>
      </c>
      <c r="C8" s="1"/>
      <c r="D8" s="1"/>
      <c r="E8" s="1"/>
      <c r="F8" s="1"/>
      <c r="G8" s="1"/>
      <c r="H8" s="1"/>
      <c r="I8" s="1"/>
    </row>
    <row r="9" customFormat="false" ht="42" hidden="false" customHeight="true" outlineLevel="0" collapsed="false">
      <c r="A9" s="1"/>
      <c r="B9" s="4" t="s">
        <v>108</v>
      </c>
      <c r="C9" s="4" t="s">
        <v>109</v>
      </c>
      <c r="D9" s="4" t="s">
        <v>110</v>
      </c>
      <c r="E9" s="4" t="s">
        <v>111</v>
      </c>
      <c r="F9" s="4" t="s">
        <v>112</v>
      </c>
      <c r="G9" s="4" t="s">
        <v>113</v>
      </c>
      <c r="H9" s="4" t="s">
        <v>114</v>
      </c>
      <c r="I9" s="1"/>
    </row>
    <row r="10" customFormat="false" ht="29" hidden="false" customHeight="true" outlineLevel="0" collapsed="false">
      <c r="A10" s="1"/>
      <c r="B10" s="6" t="s">
        <v>115</v>
      </c>
      <c r="C10" s="17" t="n">
        <v>1000</v>
      </c>
      <c r="D10" s="17" t="n">
        <v>800</v>
      </c>
      <c r="E10" s="17" t="n">
        <v>100</v>
      </c>
      <c r="F10" s="17" t="n">
        <v>40</v>
      </c>
      <c r="G10" s="17" t="n">
        <v>44</v>
      </c>
      <c r="H10" s="6" t="str">
        <f aca="false">IF(COUNT(C10:G10)&lt;5,"Sayı eksik",IF(OR(C10&lt;=0,D10&lt;0,D10&gt;C10,E10&lt;=0,E10&gt;D10,F10&lt;0,F10&gt;E10,G10&lt;0,G10&gt;E10),"Sayıları kontrol et","Hazır"))</f>
        <v>Hazır</v>
      </c>
      <c r="I10" s="1"/>
    </row>
    <row r="11" customFormat="false" ht="29" hidden="false" customHeight="true" outlineLevel="0" collapsed="false">
      <c r="A11" s="1"/>
      <c r="B11" s="14" t="s">
        <v>116</v>
      </c>
      <c r="C11" s="18" t="n">
        <v>1000</v>
      </c>
      <c r="D11" s="18" t="n">
        <v>400</v>
      </c>
      <c r="E11" s="18" t="n">
        <v>100</v>
      </c>
      <c r="F11" s="18" t="n">
        <v>40</v>
      </c>
      <c r="G11" s="18" t="n">
        <v>55</v>
      </c>
      <c r="H11" s="6" t="str">
        <f aca="false">IF(COUNT(C11:G11)&lt;5,"Sayı eksik",IF(OR(C11&lt;=0,D11&lt;0,D11&gt;C11,E11&lt;=0,E11&gt;D11,F11&lt;0,F11&gt;E11,G11&lt;0,G11&gt;E11),"Sayıları kontrol et","Hazır"))</f>
        <v>Hazır</v>
      </c>
      <c r="I11" s="1"/>
    </row>
    <row r="12" customFormat="false" ht="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26" hidden="false" customHeight="true" outlineLevel="0" collapsed="false">
      <c r="A13" s="1"/>
      <c r="B13" s="1" t="s">
        <v>117</v>
      </c>
      <c r="C13" s="1"/>
      <c r="D13" s="1"/>
      <c r="E13" s="1"/>
      <c r="F13" s="1"/>
      <c r="G13" s="1"/>
      <c r="H13" s="1"/>
      <c r="I13" s="1"/>
    </row>
    <row r="14" customFormat="false" ht="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42" hidden="false" customHeight="true" outlineLevel="0" collapsed="false">
      <c r="A15" s="1"/>
      <c r="B15" s="4" t="s">
        <v>108</v>
      </c>
      <c r="C15" s="4" t="s">
        <v>118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1"/>
    </row>
    <row r="16" customFormat="false" ht="52" hidden="false" customHeight="true" outlineLevel="0" collapsed="false">
      <c r="A16" s="1"/>
      <c r="B16" s="6" t="str">
        <f aca="false">B10</f>
        <v>A kampanyası</v>
      </c>
      <c r="C16" s="19" t="n">
        <f aca="false">IF(H10="Hazır",D10/C10,"")</f>
        <v>0.8</v>
      </c>
      <c r="D16" s="19" t="n">
        <f aca="false">IF(H10="Hazır",F10/E10,"")</f>
        <v>0.4</v>
      </c>
      <c r="E16" s="19" t="n">
        <f aca="false">IF(H10="Hazır",G10/E10,"")</f>
        <v>0.44</v>
      </c>
      <c r="F16" s="20" t="n">
        <f aca="false">IF(H10="Hazır",(E16-D16)*100,"")</f>
        <v>4</v>
      </c>
      <c r="G16" s="6" t="s">
        <v>124</v>
      </c>
      <c r="H16" s="6" t="str">
        <f aca="false">IF(H10&lt;&gt;"Hazır",H10,"Destek değişimi: "&amp;TEXT(F16,"0.0")&amp;" yüzde puan. Nedeni henüz bilinmiyor.")</f>
        <v>Destek değişimi: 4.0 yüzde puan. Nedeni henüz bilinmiyor.</v>
      </c>
      <c r="I16" s="1"/>
    </row>
    <row r="17" customFormat="false" ht="52" hidden="false" customHeight="true" outlineLevel="0" collapsed="false">
      <c r="A17" s="1"/>
      <c r="B17" s="14" t="str">
        <f aca="false">B11</f>
        <v>B kampanyası</v>
      </c>
      <c r="C17" s="21" t="n">
        <f aca="false">IF(H11="Hazır",D11/C11,"")</f>
        <v>0.4</v>
      </c>
      <c r="D17" s="21" t="n">
        <f aca="false">IF(H11="Hazır",F11/E11,"")</f>
        <v>0.4</v>
      </c>
      <c r="E17" s="21" t="n">
        <f aca="false">IF(H11="Hazır",G11/E11,"")</f>
        <v>0.55</v>
      </c>
      <c r="F17" s="22" t="n">
        <f aca="false">IF(H11="Hazır",(E17-D17)*100,"")</f>
        <v>15</v>
      </c>
      <c r="G17" s="14" t="s">
        <v>125</v>
      </c>
      <c r="H17" s="14" t="str">
        <f aca="false">IF(H11&lt;&gt;"Hazır",H11,"Destek değişimi: "&amp;TEXT(F17,"0.0")&amp;" yüzde puan. Nedeni henüz bilinmiyor.")</f>
        <v>Destek değişimi: 15.0 yüzde puan. Nedeni henüz bilinmiyor.</v>
      </c>
      <c r="I17" s="1"/>
    </row>
    <row r="18" customFormat="false" ht="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26" hidden="false" customHeight="true" outlineLevel="0" collapsed="false">
      <c r="A19" s="1"/>
      <c r="B19" s="1" t="s">
        <v>126</v>
      </c>
      <c r="C19" s="1"/>
      <c r="D19" s="1"/>
      <c r="E19" s="1"/>
      <c r="F19" s="1"/>
      <c r="G19" s="1"/>
      <c r="H19" s="1"/>
      <c r="I19" s="1"/>
    </row>
    <row r="20" customFormat="false" ht="26" hidden="false" customHeight="true" outlineLevel="0" collapsed="false">
      <c r="A20" s="1"/>
      <c r="B20" s="1" t="s">
        <v>127</v>
      </c>
      <c r="C20" s="1"/>
      <c r="D20" s="1"/>
      <c r="E20" s="1"/>
      <c r="F20" s="1"/>
      <c r="G20" s="1"/>
      <c r="H20" s="1"/>
      <c r="I20" s="1"/>
    </row>
    <row r="21" customFormat="false" ht="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26" hidden="false" customHeight="true" outlineLevel="0" collapsed="false">
      <c r="A36" s="1"/>
      <c r="B36" s="1" t="s">
        <v>128</v>
      </c>
      <c r="C36" s="1"/>
      <c r="D36" s="1"/>
      <c r="E36" s="1"/>
      <c r="F36" s="1"/>
      <c r="G36" s="1"/>
      <c r="H36" s="1"/>
      <c r="I36" s="1"/>
    </row>
    <row r="37" customFormat="false" ht="26" hidden="false" customHeight="true" outlineLevel="0" collapsed="false">
      <c r="A37" s="1"/>
      <c r="B37" s="1" t="s">
        <v>129</v>
      </c>
      <c r="C37" s="1"/>
      <c r="D37" s="1"/>
      <c r="E37" s="1"/>
      <c r="F37" s="1"/>
      <c r="G37" s="1"/>
      <c r="H37" s="1"/>
      <c r="I37" s="1"/>
    </row>
    <row r="38" customFormat="false" ht="26" hidden="false" customHeight="true" outlineLevel="0" collapsed="false">
      <c r="A38" s="1"/>
      <c r="B38" s="1" t="s">
        <v>130</v>
      </c>
      <c r="C38" s="1"/>
      <c r="D38" s="1"/>
      <c r="E38" s="1"/>
      <c r="F38" s="1"/>
      <c r="G38" s="1"/>
      <c r="H38" s="1"/>
      <c r="I38" s="1"/>
    </row>
    <row r="39" customFormat="false" ht="26" hidden="false" customHeight="true" outlineLevel="0" collapsed="false">
      <c r="A39" s="1"/>
      <c r="B39" s="1" t="s">
        <v>131</v>
      </c>
      <c r="C39" s="1"/>
      <c r="D39" s="1"/>
      <c r="E39" s="1"/>
      <c r="F39" s="1"/>
      <c r="G39" s="1"/>
      <c r="H39" s="1"/>
      <c r="I39" s="1"/>
    </row>
    <row r="40" customFormat="false" ht="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42" hidden="false" customHeight="true" outlineLevel="0" collapsed="false">
      <c r="A41" s="1"/>
      <c r="B41" s="4" t="s">
        <v>132</v>
      </c>
      <c r="C41" s="4" t="s">
        <v>133</v>
      </c>
      <c r="D41" s="4" t="s">
        <v>134</v>
      </c>
      <c r="E41" s="4" t="s">
        <v>135</v>
      </c>
      <c r="F41" s="4" t="s">
        <v>136</v>
      </c>
      <c r="G41" s="4" t="s">
        <v>137</v>
      </c>
      <c r="H41" s="4" t="s">
        <v>138</v>
      </c>
      <c r="I41" s="1"/>
    </row>
    <row r="42" customFormat="false" ht="88" hidden="false" customHeight="true" outlineLevel="0" collapsed="false">
      <c r="A42" s="1"/>
      <c r="B42" s="23" t="s">
        <v>139</v>
      </c>
      <c r="C42" s="24"/>
      <c r="D42" s="24"/>
      <c r="E42" s="24"/>
      <c r="F42" s="24"/>
      <c r="G42" s="24"/>
      <c r="H42" s="24"/>
      <c r="I42" s="1"/>
    </row>
    <row r="43" customFormat="false" ht="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26" hidden="false" customHeight="true" outlineLevel="0" collapsed="false">
      <c r="A45" s="1"/>
      <c r="B45" s="1" t="s">
        <v>140</v>
      </c>
      <c r="C45" s="1"/>
      <c r="D45" s="1"/>
      <c r="E45" s="1"/>
      <c r="F45" s="1"/>
      <c r="G45" s="1"/>
      <c r="H45" s="1"/>
      <c r="I45" s="1"/>
    </row>
    <row r="46" customFormat="false" ht="26" hidden="false" customHeight="true" outlineLevel="0" collapsed="false">
      <c r="A46" s="1"/>
      <c r="B46" s="1" t="s">
        <v>141</v>
      </c>
      <c r="C46" s="1"/>
      <c r="D46" s="1"/>
      <c r="E46" s="1"/>
      <c r="F46" s="1"/>
      <c r="G46" s="1"/>
      <c r="H46" s="1"/>
      <c r="I46" s="1"/>
    </row>
    <row r="47" customFormat="false" ht="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26" hidden="false" customHeight="true" outlineLevel="0" collapsed="false">
      <c r="A48" s="1"/>
      <c r="B48" s="1" t="s">
        <v>142</v>
      </c>
      <c r="C48" s="1"/>
      <c r="D48" s="1"/>
      <c r="E48" s="1"/>
      <c r="F48" s="1"/>
      <c r="G48" s="1"/>
      <c r="H48" s="1"/>
      <c r="I48" s="1"/>
    </row>
    <row r="49" customFormat="false" ht="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25" hidden="false" customHeight="true" outlineLevel="0" collapsed="false">
      <c r="A50" s="1"/>
      <c r="B50" s="25" t="str">
        <f aca="false">HYPERLINK("https://mayhewforever.github.io/kamudiplomasisi/notes/Hafta_01_Ders_Notu_TR.html","1. hafta notu")</f>
        <v>1. hafta notu</v>
      </c>
      <c r="C50" s="1"/>
      <c r="D50" s="25" t="str">
        <f aca="false">HYPERLINK("https://mayhewforever.github.io/kamudiplomasisi/notes/Hafta_14_Ders_Notu_TR.html","14. hafta notu")</f>
        <v>14. hafta notu</v>
      </c>
      <c r="E50" s="1"/>
      <c r="F50" s="1"/>
      <c r="G50" s="1"/>
      <c r="H50" s="1"/>
      <c r="I50" s="1"/>
    </row>
    <row r="51" customFormat="false" ht="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</sheetData>
  <conditionalFormatting sqref="H10:H11">
    <cfRule type="containsText" priority="2" operator="containsText" aboveAverage="0" equalAverage="0" bottom="0" percent="0" rank="0" text="Sayı" dxfId="0">
      <formula>NOT(ISERROR(SEARCH("Sayı",H10)))</formula>
    </cfRule>
  </conditionalFormatting>
  <dataValidations count="1">
    <dataValidation allowBlank="false" errorStyle="stop" operator="between" showDropDown="false" showErrorMessage="false" showInputMessage="false" sqref="C10:G11" type="whole">
      <formula1>0</formula1>
      <formula2>1000000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21.11"/>
    <col collapsed="false" customWidth="true" hidden="false" outlineLevel="0" max="3" min="3" style="0" width="39.44"/>
    <col collapsed="false" customWidth="true" hidden="false" outlineLevel="0" max="4" min="4" style="0" width="36.11"/>
    <col collapsed="false" customWidth="true" hidden="false" outlineLevel="0" max="5" min="5" style="0" width="32.22"/>
    <col collapsed="false" customWidth="true" hidden="false" outlineLevel="0" max="6" min="6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1" hidden="false" customHeight="true" outlineLevel="0" collapsed="false">
      <c r="A2" s="1"/>
      <c r="B2" s="2" t="s">
        <v>143</v>
      </c>
      <c r="C2" s="1"/>
      <c r="D2" s="1"/>
      <c r="E2" s="1"/>
      <c r="F2" s="1"/>
      <c r="G2" s="1"/>
    </row>
    <row r="3" customFormat="false" ht="25" hidden="false" customHeight="true" outlineLevel="0" collapsed="false">
      <c r="A3" s="1"/>
      <c r="B3" s="3"/>
      <c r="C3" s="3"/>
      <c r="D3" s="3"/>
      <c r="E3" s="3"/>
      <c r="F3" s="1"/>
      <c r="G3" s="1"/>
    </row>
    <row r="4" customFormat="false" ht="26" hidden="false" customHeight="true" outlineLevel="0" collapsed="false">
      <c r="A4" s="1"/>
      <c r="B4" s="1" t="s">
        <v>144</v>
      </c>
      <c r="C4" s="1"/>
      <c r="D4" s="1"/>
      <c r="E4" s="1"/>
      <c r="F4" s="1"/>
      <c r="G4" s="1"/>
    </row>
    <row r="5" customFormat="false" ht="25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42" hidden="false" customHeight="true" outlineLevel="0" collapsed="false">
      <c r="A6" s="1"/>
      <c r="B6" s="4" t="s">
        <v>145</v>
      </c>
      <c r="C6" s="4" t="s">
        <v>146</v>
      </c>
      <c r="D6" s="4" t="s">
        <v>147</v>
      </c>
      <c r="E6" s="4" t="s">
        <v>148</v>
      </c>
      <c r="F6" s="1"/>
      <c r="G6" s="1"/>
    </row>
    <row r="7" customFormat="false" ht="48" hidden="false" customHeight="true" outlineLevel="0" collapsed="false">
      <c r="A7" s="1"/>
      <c r="B7" s="6" t="s">
        <v>149</v>
      </c>
      <c r="C7" s="6" t="s">
        <v>150</v>
      </c>
      <c r="D7" s="6" t="s">
        <v>151</v>
      </c>
      <c r="E7" s="6" t="s">
        <v>152</v>
      </c>
      <c r="F7" s="1"/>
      <c r="G7" s="1"/>
    </row>
    <row r="8" customFormat="false" ht="48" hidden="false" customHeight="true" outlineLevel="0" collapsed="false">
      <c r="A8" s="1"/>
      <c r="B8" s="10" t="s">
        <v>153</v>
      </c>
      <c r="C8" s="10" t="s">
        <v>154</v>
      </c>
      <c r="D8" s="10" t="s">
        <v>155</v>
      </c>
      <c r="E8" s="10" t="s">
        <v>156</v>
      </c>
      <c r="F8" s="1"/>
      <c r="G8" s="1"/>
    </row>
    <row r="9" customFormat="false" ht="48" hidden="false" customHeight="true" outlineLevel="0" collapsed="false">
      <c r="A9" s="1"/>
      <c r="B9" s="10" t="s">
        <v>157</v>
      </c>
      <c r="C9" s="10" t="s">
        <v>158</v>
      </c>
      <c r="D9" s="10" t="s">
        <v>159</v>
      </c>
      <c r="E9" s="10" t="s">
        <v>160</v>
      </c>
      <c r="F9" s="1"/>
      <c r="G9" s="1"/>
    </row>
    <row r="10" customFormat="false" ht="48" hidden="false" customHeight="true" outlineLevel="0" collapsed="false">
      <c r="A10" s="1"/>
      <c r="B10" s="10" t="s">
        <v>161</v>
      </c>
      <c r="C10" s="10" t="s">
        <v>162</v>
      </c>
      <c r="D10" s="10" t="s">
        <v>163</v>
      </c>
      <c r="E10" s="10" t="s">
        <v>164</v>
      </c>
      <c r="F10" s="1"/>
      <c r="G10" s="1"/>
    </row>
    <row r="11" customFormat="false" ht="48" hidden="false" customHeight="true" outlineLevel="0" collapsed="false">
      <c r="A11" s="1"/>
      <c r="B11" s="10" t="s">
        <v>165</v>
      </c>
      <c r="C11" s="10" t="s">
        <v>166</v>
      </c>
      <c r="D11" s="10" t="s">
        <v>167</v>
      </c>
      <c r="E11" s="10" t="s">
        <v>168</v>
      </c>
      <c r="F11" s="1"/>
      <c r="G11" s="1"/>
    </row>
    <row r="12" customFormat="false" ht="48" hidden="false" customHeight="true" outlineLevel="0" collapsed="false">
      <c r="A12" s="1"/>
      <c r="B12" s="10" t="s">
        <v>169</v>
      </c>
      <c r="C12" s="10" t="s">
        <v>170</v>
      </c>
      <c r="D12" s="10" t="s">
        <v>171</v>
      </c>
      <c r="E12" s="10" t="s">
        <v>172</v>
      </c>
      <c r="F12" s="1"/>
      <c r="G12" s="1"/>
    </row>
    <row r="13" customFormat="false" ht="48" hidden="false" customHeight="true" outlineLevel="0" collapsed="false">
      <c r="A13" s="1"/>
      <c r="B13" s="10" t="s">
        <v>173</v>
      </c>
      <c r="C13" s="10" t="s">
        <v>174</v>
      </c>
      <c r="D13" s="10" t="s">
        <v>175</v>
      </c>
      <c r="E13" s="10" t="s">
        <v>176</v>
      </c>
      <c r="F13" s="1"/>
      <c r="G13" s="1"/>
    </row>
    <row r="14" customFormat="false" ht="48" hidden="false" customHeight="true" outlineLevel="0" collapsed="false">
      <c r="A14" s="1"/>
      <c r="B14" s="10" t="s">
        <v>177</v>
      </c>
      <c r="C14" s="10" t="s">
        <v>178</v>
      </c>
      <c r="D14" s="10" t="s">
        <v>179</v>
      </c>
      <c r="E14" s="10" t="s">
        <v>180</v>
      </c>
      <c r="F14" s="1"/>
      <c r="G14" s="1"/>
    </row>
    <row r="15" customFormat="false" ht="48" hidden="false" customHeight="true" outlineLevel="0" collapsed="false">
      <c r="A15" s="1"/>
      <c r="B15" s="10" t="s">
        <v>181</v>
      </c>
      <c r="C15" s="10" t="s">
        <v>182</v>
      </c>
      <c r="D15" s="10" t="s">
        <v>183</v>
      </c>
      <c r="E15" s="10" t="s">
        <v>184</v>
      </c>
      <c r="F15" s="1"/>
      <c r="G15" s="1"/>
    </row>
    <row r="16" customFormat="false" ht="48" hidden="false" customHeight="true" outlineLevel="0" collapsed="false">
      <c r="A16" s="1"/>
      <c r="B16" s="10" t="s">
        <v>185</v>
      </c>
      <c r="C16" s="10" t="s">
        <v>186</v>
      </c>
      <c r="D16" s="10" t="s">
        <v>187</v>
      </c>
      <c r="E16" s="10" t="s">
        <v>188</v>
      </c>
      <c r="F16" s="1"/>
      <c r="G16" s="1"/>
    </row>
    <row r="17" customFormat="false" ht="48" hidden="false" customHeight="true" outlineLevel="0" collapsed="false">
      <c r="A17" s="1"/>
      <c r="B17" s="10" t="s">
        <v>189</v>
      </c>
      <c r="C17" s="10" t="s">
        <v>190</v>
      </c>
      <c r="D17" s="10" t="s">
        <v>191</v>
      </c>
      <c r="E17" s="10" t="s">
        <v>192</v>
      </c>
      <c r="F17" s="1"/>
      <c r="G17" s="1"/>
    </row>
    <row r="18" customFormat="false" ht="48" hidden="false" customHeight="true" outlineLevel="0" collapsed="false">
      <c r="A18" s="1"/>
      <c r="B18" s="10" t="s">
        <v>193</v>
      </c>
      <c r="C18" s="10" t="s">
        <v>194</v>
      </c>
      <c r="D18" s="10" t="s">
        <v>195</v>
      </c>
      <c r="E18" s="10" t="s">
        <v>196</v>
      </c>
      <c r="F18" s="1"/>
      <c r="G18" s="1"/>
    </row>
    <row r="19" customFormat="false" ht="48" hidden="false" customHeight="true" outlineLevel="0" collapsed="false">
      <c r="A19" s="1"/>
      <c r="B19" s="10" t="s">
        <v>197</v>
      </c>
      <c r="C19" s="10" t="s">
        <v>198</v>
      </c>
      <c r="D19" s="10" t="s">
        <v>199</v>
      </c>
      <c r="E19" s="10" t="s">
        <v>200</v>
      </c>
      <c r="F19" s="1"/>
      <c r="G19" s="1"/>
    </row>
    <row r="20" customFormat="false" ht="48" hidden="false" customHeight="true" outlineLevel="0" collapsed="false">
      <c r="A20" s="1"/>
      <c r="B20" s="10" t="s">
        <v>201</v>
      </c>
      <c r="C20" s="10" t="s">
        <v>202</v>
      </c>
      <c r="D20" s="10" t="s">
        <v>203</v>
      </c>
      <c r="E20" s="10" t="s">
        <v>204</v>
      </c>
      <c r="F20" s="1"/>
      <c r="G20" s="1"/>
    </row>
    <row r="21" customFormat="false" ht="48" hidden="false" customHeight="true" outlineLevel="0" collapsed="false">
      <c r="A21" s="1"/>
      <c r="B21" s="10" t="s">
        <v>205</v>
      </c>
      <c r="C21" s="10" t="s">
        <v>206</v>
      </c>
      <c r="D21" s="10" t="s">
        <v>207</v>
      </c>
      <c r="E21" s="10" t="s">
        <v>208</v>
      </c>
      <c r="F21" s="1"/>
      <c r="G21" s="1"/>
    </row>
    <row r="22" customFormat="false" ht="48" hidden="false" customHeight="true" outlineLevel="0" collapsed="false">
      <c r="A22" s="1"/>
      <c r="B22" s="10" t="s">
        <v>209</v>
      </c>
      <c r="C22" s="10" t="s">
        <v>210</v>
      </c>
      <c r="D22" s="10" t="s">
        <v>211</v>
      </c>
      <c r="E22" s="10" t="s">
        <v>212</v>
      </c>
      <c r="F22" s="1"/>
      <c r="G22" s="1"/>
    </row>
    <row r="23" customFormat="false" ht="48" hidden="false" customHeight="true" outlineLevel="0" collapsed="false">
      <c r="A23" s="1"/>
      <c r="B23" s="10" t="s">
        <v>213</v>
      </c>
      <c r="C23" s="10" t="s">
        <v>214</v>
      </c>
      <c r="D23" s="10" t="s">
        <v>215</v>
      </c>
      <c r="E23" s="10" t="s">
        <v>216</v>
      </c>
      <c r="F23" s="1"/>
      <c r="G23" s="1"/>
    </row>
    <row r="24" customFormat="false" ht="48" hidden="false" customHeight="true" outlineLevel="0" collapsed="false">
      <c r="A24" s="1"/>
      <c r="B24" s="14" t="s">
        <v>217</v>
      </c>
      <c r="C24" s="14" t="s">
        <v>218</v>
      </c>
      <c r="D24" s="14" t="s">
        <v>219</v>
      </c>
      <c r="E24" s="14" t="s">
        <v>220</v>
      </c>
      <c r="F24" s="1"/>
      <c r="G24" s="1"/>
    </row>
    <row r="25" customFormat="false" ht="25" hidden="false" customHeight="true" outlineLevel="0" collapsed="false">
      <c r="A25" s="1"/>
      <c r="B25" s="1"/>
      <c r="C25" s="1"/>
      <c r="D25" s="1"/>
      <c r="E25" s="1"/>
      <c r="F25" s="1"/>
      <c r="G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</row>
    <row r="27" customFormat="false" ht="26" hidden="false" customHeight="true" outlineLevel="0" collapsed="false">
      <c r="A27" s="1"/>
      <c r="B27" s="1" t="s">
        <v>221</v>
      </c>
      <c r="C27" s="1"/>
      <c r="D27" s="1"/>
      <c r="E27" s="1"/>
      <c r="F27" s="1"/>
      <c r="G27" s="1"/>
    </row>
    <row r="28" customFormat="false" ht="25" hidden="false" customHeight="true" outlineLevel="0" collapsed="false">
      <c r="A28" s="1"/>
      <c r="B28" s="1"/>
      <c r="C28" s="1"/>
      <c r="D28" s="1"/>
      <c r="E28" s="1"/>
      <c r="F28" s="1"/>
      <c r="G28" s="1"/>
    </row>
    <row r="29" customFormat="false" ht="25" hidden="false" customHeight="true" outlineLevel="0" collapsed="false">
      <c r="A29" s="1"/>
      <c r="B29" s="25" t="str">
        <f aca="false">HYPERLINK("https://mayhewforever.github.io/kamudiplomasisi/notes/Hafta_01_Ders_Notu_TR.html","1. hafta: kavramlar")</f>
        <v>1. hafta: kavramlar</v>
      </c>
      <c r="C29" s="1"/>
      <c r="D29" s="25" t="str">
        <f aca="false">HYPERLINK("https://mayhewforever.github.io/kamudiplomasisi/notes/Hafta_14_Ders_Notu_TR.html","14. hafta: ölçüm")</f>
        <v>14. hafta: ölçüm</v>
      </c>
      <c r="E29" s="1"/>
      <c r="F29" s="1"/>
      <c r="G29" s="1"/>
    </row>
    <row r="30" customFormat="false" ht="25" hidden="false" customHeight="true" outlineLevel="0" collapsed="false">
      <c r="A30" s="1"/>
      <c r="B30" s="1"/>
      <c r="C30" s="1"/>
      <c r="D30" s="1"/>
      <c r="E30" s="1"/>
      <c r="F30" s="1"/>
      <c r="G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